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11B490D1-A6F6-42BE-93E2-321E57672AA7}" xr6:coauthVersionLast="47" xr6:coauthVersionMax="47" xr10:uidLastSave="{00000000-0000-0000-0000-000000000000}"/>
  <bookViews>
    <workbookView xWindow="-120" yWindow="-120" windowWidth="20730" windowHeight="11040" tabRatio="500" firstSheet="3" activeTab="6" xr2:uid="{00000000-000D-0000-FFFF-FFFF00000000}"/>
  </bookViews>
  <sheets>
    <sheet name="Posterior Summary" sheetId="1" r:id="rId1"/>
    <sheet name="Non-Hier Summary" sheetId="2" r:id="rId2"/>
    <sheet name="Model Comparison" sheetId="3" r:id="rId3"/>
    <sheet name="School Shrinkage" sheetId="4" r:id="rId4"/>
    <sheet name="Prior Sensitivity" sheetId="5" r:id="rId5"/>
    <sheet name="Interpretation" sheetId="6" r:id="rId6"/>
    <sheet name="Model &amp; Not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2" i="7" l="1" a="1"/>
  <c r="A12" i="7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E57" i="5" s="1"/>
  <c r="D49" i="5"/>
  <c r="D57" i="5" s="1"/>
  <c r="C49" i="5"/>
  <c r="C57" i="5" s="1"/>
  <c r="B49" i="5"/>
  <c r="B57" i="5" s="1"/>
  <c r="F22" i="5"/>
  <c r="F23" i="5" s="1"/>
  <c r="E22" i="5"/>
  <c r="D22" i="5"/>
  <c r="D23" i="5" s="1"/>
  <c r="C22" i="5"/>
  <c r="H21" i="5"/>
  <c r="G21" i="5"/>
  <c r="B21" i="5"/>
  <c r="H20" i="5"/>
  <c r="G20" i="5"/>
  <c r="B20" i="5"/>
  <c r="H19" i="5"/>
  <c r="G19" i="5"/>
  <c r="B19" i="5"/>
  <c r="H18" i="5"/>
  <c r="G18" i="5"/>
  <c r="B18" i="5"/>
  <c r="H17" i="5"/>
  <c r="G17" i="5"/>
  <c r="B17" i="5"/>
  <c r="H16" i="5"/>
  <c r="G16" i="5"/>
  <c r="B16" i="5"/>
  <c r="H15" i="5"/>
  <c r="G15" i="5"/>
  <c r="B15" i="5"/>
  <c r="H14" i="5"/>
  <c r="G14" i="5"/>
  <c r="B14" i="5"/>
  <c r="B22" i="5" s="1"/>
  <c r="F9" i="5"/>
  <c r="F8" i="5"/>
  <c r="F7" i="5"/>
  <c r="F6" i="5"/>
  <c r="B16" i="4"/>
  <c r="B15" i="4"/>
  <c r="K12" i="4"/>
  <c r="H12" i="4"/>
  <c r="G12" i="4"/>
  <c r="J12" i="4" s="1"/>
  <c r="E12" i="4"/>
  <c r="F12" i="4" s="1"/>
  <c r="D12" i="4"/>
  <c r="K11" i="4"/>
  <c r="H11" i="4"/>
  <c r="G11" i="4"/>
  <c r="J11" i="4" s="1"/>
  <c r="E11" i="4"/>
  <c r="F11" i="4" s="1"/>
  <c r="D11" i="4"/>
  <c r="K10" i="4"/>
  <c r="H10" i="4"/>
  <c r="G10" i="4"/>
  <c r="J10" i="4" s="1"/>
  <c r="E10" i="4"/>
  <c r="F10" i="4" s="1"/>
  <c r="D10" i="4"/>
  <c r="K9" i="4"/>
  <c r="H9" i="4"/>
  <c r="G9" i="4"/>
  <c r="J9" i="4" s="1"/>
  <c r="E9" i="4"/>
  <c r="F9" i="4" s="1"/>
  <c r="D9" i="4"/>
  <c r="K8" i="4"/>
  <c r="H8" i="4"/>
  <c r="G8" i="4"/>
  <c r="J8" i="4" s="1"/>
  <c r="E8" i="4"/>
  <c r="F8" i="4" s="1"/>
  <c r="D8" i="4"/>
  <c r="K7" i="4"/>
  <c r="H7" i="4"/>
  <c r="G7" i="4"/>
  <c r="J7" i="4" s="1"/>
  <c r="E7" i="4"/>
  <c r="F7" i="4" s="1"/>
  <c r="D7" i="4"/>
  <c r="K6" i="4"/>
  <c r="H6" i="4"/>
  <c r="G6" i="4"/>
  <c r="J6" i="4" s="1"/>
  <c r="E6" i="4"/>
  <c r="F6" i="4" s="1"/>
  <c r="D6" i="4"/>
  <c r="K5" i="4"/>
  <c r="H5" i="4"/>
  <c r="G5" i="4"/>
  <c r="J5" i="4" s="1"/>
  <c r="E5" i="4"/>
  <c r="B17" i="4" s="1"/>
  <c r="B18" i="4" s="1"/>
  <c r="D5" i="4"/>
  <c r="N12" i="3"/>
  <c r="O12" i="3" s="1"/>
  <c r="M12" i="3"/>
  <c r="R12" i="3" s="1"/>
  <c r="K12" i="3"/>
  <c r="L12" i="3" s="1"/>
  <c r="J12" i="3"/>
  <c r="Q12" i="3" s="1"/>
  <c r="H12" i="3"/>
  <c r="I12" i="3" s="1"/>
  <c r="G12" i="3"/>
  <c r="E12" i="3"/>
  <c r="F12" i="3" s="1"/>
  <c r="D12" i="3"/>
  <c r="C12" i="3"/>
  <c r="B12" i="3"/>
  <c r="N11" i="3"/>
  <c r="O11" i="3" s="1"/>
  <c r="M11" i="3"/>
  <c r="R11" i="3" s="1"/>
  <c r="K11" i="3"/>
  <c r="L11" i="3" s="1"/>
  <c r="J11" i="3"/>
  <c r="Q11" i="3" s="1"/>
  <c r="H11" i="3"/>
  <c r="I11" i="3" s="1"/>
  <c r="G11" i="3"/>
  <c r="E11" i="3"/>
  <c r="D11" i="3"/>
  <c r="F11" i="3" s="1"/>
  <c r="C11" i="3"/>
  <c r="B11" i="3"/>
  <c r="N10" i="3"/>
  <c r="M10" i="3"/>
  <c r="R10" i="3" s="1"/>
  <c r="K10" i="3"/>
  <c r="L10" i="3" s="1"/>
  <c r="J10" i="3"/>
  <c r="Q10" i="3" s="1"/>
  <c r="H10" i="3"/>
  <c r="G10" i="3"/>
  <c r="I10" i="3" s="1"/>
  <c r="E10" i="3"/>
  <c r="F10" i="3" s="1"/>
  <c r="D10" i="3"/>
  <c r="C10" i="3"/>
  <c r="B10" i="3"/>
  <c r="N9" i="3"/>
  <c r="O9" i="3" s="1"/>
  <c r="M9" i="3"/>
  <c r="R9" i="3" s="1"/>
  <c r="K9" i="3"/>
  <c r="J9" i="3"/>
  <c r="Q9" i="3" s="1"/>
  <c r="H9" i="3"/>
  <c r="I9" i="3" s="1"/>
  <c r="G9" i="3"/>
  <c r="E9" i="3"/>
  <c r="D9" i="3"/>
  <c r="F9" i="3" s="1"/>
  <c r="C9" i="3"/>
  <c r="B9" i="3"/>
  <c r="N8" i="3"/>
  <c r="M8" i="3"/>
  <c r="R8" i="3" s="1"/>
  <c r="K8" i="3"/>
  <c r="L8" i="3" s="1"/>
  <c r="J8" i="3"/>
  <c r="H8" i="3"/>
  <c r="G8" i="3"/>
  <c r="I8" i="3" s="1"/>
  <c r="E8" i="3"/>
  <c r="F8" i="3" s="1"/>
  <c r="D8" i="3"/>
  <c r="C8" i="3"/>
  <c r="B8" i="3"/>
  <c r="N7" i="3"/>
  <c r="O7" i="3" s="1"/>
  <c r="M7" i="3"/>
  <c r="K7" i="3"/>
  <c r="J7" i="3"/>
  <c r="Q7" i="3" s="1"/>
  <c r="H7" i="3"/>
  <c r="I7" i="3" s="1"/>
  <c r="G7" i="3"/>
  <c r="E7" i="3"/>
  <c r="D7" i="3"/>
  <c r="F7" i="3" s="1"/>
  <c r="C7" i="3"/>
  <c r="B7" i="3"/>
  <c r="N6" i="3"/>
  <c r="M6" i="3"/>
  <c r="R6" i="3" s="1"/>
  <c r="K6" i="3"/>
  <c r="L6" i="3" s="1"/>
  <c r="J6" i="3"/>
  <c r="H6" i="3"/>
  <c r="G6" i="3"/>
  <c r="I6" i="3" s="1"/>
  <c r="E6" i="3"/>
  <c r="F6" i="3" s="1"/>
  <c r="D6" i="3"/>
  <c r="C6" i="3"/>
  <c r="B6" i="3"/>
  <c r="N5" i="3"/>
  <c r="O5" i="3" s="1"/>
  <c r="M5" i="3"/>
  <c r="K5" i="3"/>
  <c r="J5" i="3"/>
  <c r="Q5" i="3" s="1"/>
  <c r="H5" i="3"/>
  <c r="D18" i="3" s="1"/>
  <c r="G5" i="3"/>
  <c r="C18" i="3" s="1"/>
  <c r="E5" i="3"/>
  <c r="D17" i="3" s="1"/>
  <c r="D5" i="3"/>
  <c r="C17" i="3" s="1"/>
  <c r="C5" i="3"/>
  <c r="B18" i="3" s="1"/>
  <c r="B5" i="3"/>
  <c r="B16" i="3" s="1"/>
  <c r="C18" i="2"/>
  <c r="C17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C19" i="2" s="1"/>
  <c r="N6" i="2"/>
  <c r="M6" i="2"/>
  <c r="C28" i="1"/>
  <c r="C27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C29" i="1" s="1"/>
  <c r="N6" i="1"/>
  <c r="M6" i="1"/>
  <c r="B20" i="4" l="1"/>
  <c r="C23" i="5"/>
  <c r="E23" i="5"/>
  <c r="P11" i="3"/>
  <c r="P12" i="3"/>
  <c r="F5" i="3"/>
  <c r="L5" i="3"/>
  <c r="R5" i="3"/>
  <c r="O6" i="3"/>
  <c r="P6" i="3" s="1"/>
  <c r="Q6" i="3"/>
  <c r="C20" i="3" s="1"/>
  <c r="L7" i="3"/>
  <c r="P7" i="3" s="1"/>
  <c r="R7" i="3"/>
  <c r="O8" i="3"/>
  <c r="P8" i="3" s="1"/>
  <c r="Q8" i="3"/>
  <c r="L9" i="3"/>
  <c r="P9" i="3" s="1"/>
  <c r="O10" i="3"/>
  <c r="P10" i="3" s="1"/>
  <c r="D16" i="3"/>
  <c r="I5" i="4"/>
  <c r="I6" i="4"/>
  <c r="I7" i="4"/>
  <c r="I8" i="4"/>
  <c r="I9" i="4"/>
  <c r="I10" i="4"/>
  <c r="I11" i="4"/>
  <c r="I12" i="4"/>
  <c r="I5" i="3"/>
  <c r="C16" i="3"/>
  <c r="F5" i="4"/>
  <c r="B19" i="4" s="1"/>
  <c r="C19" i="3" l="1"/>
  <c r="P5" i="3"/>
  <c r="D21" i="3" s="1"/>
  <c r="D20" i="3"/>
  <c r="D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<sst xmlns="http://schemas.openxmlformats.org/spreadsheetml/2006/main" count="320" uniqueCount="188">
  <si>
    <t>Eight Schools: Hierarchical Model (non-centered) - Posterior Summary</t>
  </si>
  <si>
    <t>Stan output: 4 chains, iter=1000, warmup=500, thin=1. Blue = values copied from Stan output; black = formulas.</t>
  </si>
  <si>
    <t>Post-warmup draws</t>
  </si>
  <si>
    <t>(4 chains x 500)</t>
  </si>
  <si>
    <t>Parameter</t>
  </si>
  <si>
    <t>Type</t>
  </si>
  <si>
    <t>Mean</t>
  </si>
  <si>
    <t>se_mean</t>
  </si>
  <si>
    <t>SD</t>
  </si>
  <si>
    <t>2.5%</t>
  </si>
  <si>
    <t>25%</t>
  </si>
  <si>
    <t>50%</t>
  </si>
  <si>
    <t>75%</t>
  </si>
  <si>
    <t>97.5%</t>
  </si>
  <si>
    <t>n_eff</t>
  </si>
  <si>
    <t>Rhat</t>
  </si>
  <si>
    <t>n_eff / draws</t>
  </si>
  <si>
    <t>95% interval includes 0?</t>
  </si>
  <si>
    <t>Rhat &lt;= 1.01?</t>
  </si>
  <si>
    <t>alpha</t>
  </si>
  <si>
    <t>Population</t>
  </si>
  <si>
    <t>beta</t>
  </si>
  <si>
    <t>eta[1]</t>
  </si>
  <si>
    <t>School offset</t>
  </si>
  <si>
    <t>eta[2]</t>
  </si>
  <si>
    <t>eta[3]</t>
  </si>
  <si>
    <t>eta[4]</t>
  </si>
  <si>
    <t>eta[5]</t>
  </si>
  <si>
    <t>eta[6]</t>
  </si>
  <si>
    <t>eta[7]</t>
  </si>
  <si>
    <t>eta[8]</t>
  </si>
  <si>
    <t>mu[1]</t>
  </si>
  <si>
    <t>School effect</t>
  </si>
  <si>
    <t>mu[2]</t>
  </si>
  <si>
    <t>mu[3]</t>
  </si>
  <si>
    <t>mu[4]</t>
  </si>
  <si>
    <t>mu[5]</t>
  </si>
  <si>
    <t>mu[6]</t>
  </si>
  <si>
    <t>mu[7]</t>
  </si>
  <si>
    <t>mu[8]</t>
  </si>
  <si>
    <t>lp__</t>
  </si>
  <si>
    <t>Log posterior</t>
  </si>
  <si>
    <t>Convergence check</t>
  </si>
  <si>
    <t>Max Rhat</t>
  </si>
  <si>
    <t>Min n_eff</t>
  </si>
  <si>
    <t>All parameters Rhat &lt;= 1.01?</t>
  </si>
  <si>
    <t>Note: Rhat shown rounded to 2 decimals by Stan (1.00); n_eff / draws &gt; 1 is possible for well-mixing parameters.</t>
  </si>
  <si>
    <t>Eight Schools: Non-Hierarchical (No-Pooling) Model - Posterior Summary</t>
  </si>
  <si>
    <t>Stan output: 4 chains, iter=1000, warmup=500, thin=1. Model: treatment ~ normal(mu, standard_error), one independent mu per school, flat prior. Blue = copied from Stan output; black = formulas.</t>
  </si>
  <si>
    <t>Note: lp__ has Rhat 1.01 and n_eff 643 (the lowest), which is acceptable; all mu parameters have Rhat 1.00 and n_eff above 2,600.</t>
  </si>
  <si>
    <t>Hierarchical vs Non-Hierarchical: School Effects (mu)</t>
  </si>
  <si>
    <t>Hierarchical = non-centered model with beta ~ half-normal(0,10) (sheet 'Posterior Summary'); Non-hierarchical = independent mu per school ('Non-Hier Summary'). Green = links to other sheets; black = formulas.</t>
  </si>
  <si>
    <t>School</t>
  </si>
  <si>
    <t>Raw estimate</t>
  </si>
  <si>
    <t>Raw SE</t>
  </si>
  <si>
    <t>Non-hier mean</t>
  </si>
  <si>
    <t>Hier mean</t>
  </si>
  <si>
    <t>Diff (Hier - Non-hier)</t>
  </si>
  <si>
    <t>Non-hier SD</t>
  </si>
  <si>
    <t>Hier SD</t>
  </si>
  <si>
    <t>SD ratio (Hier / Non-hier)</t>
  </si>
  <si>
    <t>Non-hier 2.5%</t>
  </si>
  <si>
    <t>Non-hier 97.5%</t>
  </si>
  <si>
    <t>Non-hier 95% width</t>
  </si>
  <si>
    <t>Hier 2.5%</t>
  </si>
  <si>
    <t>Hier 97.5%</t>
  </si>
  <si>
    <t>Hier 95% width</t>
  </si>
  <si>
    <t>Width reduction (Hier vs Non-hier)</t>
  </si>
  <si>
    <t>Non-hier interval includes 0?</t>
  </si>
  <si>
    <t>Hier interval includes 0?</t>
  </si>
  <si>
    <t>A</t>
  </si>
  <si>
    <t>B</t>
  </si>
  <si>
    <t>C</t>
  </si>
  <si>
    <t>D</t>
  </si>
  <si>
    <t>E</t>
  </si>
  <si>
    <t>F</t>
  </si>
  <si>
    <t>G</t>
  </si>
  <si>
    <t>H</t>
  </si>
  <si>
    <t>Summary</t>
  </si>
  <si>
    <t>Metric</t>
  </si>
  <si>
    <t>Raw data</t>
  </si>
  <si>
    <t>Non-hierarchical</t>
  </si>
  <si>
    <t>Hierarchical</t>
  </si>
  <si>
    <t>Range of school means (max - min)</t>
  </si>
  <si>
    <t>Mean absolute distance from raw estimate</t>
  </si>
  <si>
    <t>Average posterior SD (raw: average SE)</t>
  </si>
  <si>
    <t>Average 95% interval width</t>
  </si>
  <si>
    <t>Schools whose 95% interval excludes 0</t>
  </si>
  <si>
    <t>Average width reduction from pooling</t>
  </si>
  <si>
    <t>Takeaways</t>
  </si>
  <si>
    <t>- No pooling just reproduces the data: non-hierarchical means sit within about 0.2 points (on average) of the raw estimates and posterior SDs (avg 12.7) match the raw SEs (avg 12.7). The model adds no information.</t>
  </si>
  <si>
    <t>- Hierarchical partial pooling collapses the spread of school means from about 31.8 to 4.4 points and halves interval widths (average width 49.5 -&gt; 25.0, about 49% narrower).</t>
  </si>
  <si>
    <t>- Substantive difference: in the non-hierarchical model School A's 95% interval (0.62 to 58.11) excludes 0, so it looks like a clear success. In the hierarchical model it includes 0 (-1.31 to 27.20) and the mean falls from 28.8 to 10.4.</t>
  </si>
  <si>
    <t>- Schools with the largest SEs (C, H) gain most from pooling: interval widths shrink by 58% and 61%, and School C's mean moves from -3.0 to +6.7.</t>
  </si>
  <si>
    <t>- Both models converged (Rhat &lt;= 1.01, n_eff &gt; 2,600 for all mu in the non-hierarchical run; Rhat 1.00 throughout in the hierarchical run).</t>
  </si>
  <si>
    <t>- Caveat: the non-hierarchical posterior is driven entirely by each school's single estimate with a flat prior; the hierarchical result depends on the beta prior (see 'Prior Sensitivity'), though its conclusions are stable across the priors tried.</t>
  </si>
  <si>
    <t>Partial Pooling: Raw Estimates vs Posterior School Effects</t>
  </si>
  <si>
    <t>Blue = raw data supplied by user (eight schools data); green = links to 'Posterior Summary'; black = formulas.</t>
  </si>
  <si>
    <t>Raw z (est/SE)</t>
  </si>
  <si>
    <t>Posterior mean (mu)</t>
  </si>
  <si>
    <t>Change (post - raw)</t>
  </si>
  <si>
    <t>Post. 2.5%</t>
  </si>
  <si>
    <t>Post. 97.5%</t>
  </si>
  <si>
    <t>95% interval width</t>
  </si>
  <si>
    <t>Interval includes 0?</t>
  </si>
  <si>
    <t>Posterior SD</t>
  </si>
  <si>
    <t>Summary of shrinkage</t>
  </si>
  <si>
    <t>Population mean (alpha)</t>
  </si>
  <si>
    <t>Range of raw estimates</t>
  </si>
  <si>
    <t>Range of posterior means</t>
  </si>
  <si>
    <t>Spread retained after pooling</t>
  </si>
  <si>
    <t>Largest absolute shrinkage (points)</t>
  </si>
  <si>
    <t>Interpretation: extreme raw estimates with large SEs (A, C) are pulled strongly toward the overall mean; posterior intervals are wide, so schools cannot be confidently ranked.</t>
  </si>
  <si>
    <t>Prior Sensitivity: how the prior on beta changes beta and mu</t>
  </si>
  <si>
    <t>Method: exact posterior (alpha and school effects integrated analytically, grid over beta), 400,000 draws, seed 1; alpha ~ normal(0,20) in all runs. Baseline matches the Stan run. Blue = computed outside this workbook; green = link to another sheet; black = formula.</t>
  </si>
  <si>
    <t>1. beta (between-school SD)</t>
  </si>
  <si>
    <t>Prior on beta</t>
  </si>
  <si>
    <t>Median</t>
  </si>
  <si>
    <t>P(beta &lt; 1)</t>
  </si>
  <si>
    <t>P(beta &lt; 2)</t>
  </si>
  <si>
    <t>HN(0,10) original</t>
  </si>
  <si>
    <t>HN(0,5)</t>
  </si>
  <si>
    <t>HC(0,5)</t>
  </si>
  <si>
    <t>HC(0,2.5)</t>
  </si>
  <si>
    <t>2. mu: posterior means by school</t>
  </si>
  <si>
    <t>Change: HN(0,5) vs original</t>
  </si>
  <si>
    <t>Change: HC(0,5) vs original</t>
  </si>
  <si>
    <t>Range of values</t>
  </si>
  <si>
    <t>Spread retained vs raw</t>
  </si>
  <si>
    <t>3. mu: 95% interval lower bound (2.5%)</t>
  </si>
  <si>
    <t>4. mu: 95% interval upper bound (97.5%)</t>
  </si>
  <si>
    <t>5. mu: 95% interval width</t>
  </si>
  <si>
    <t>Average width</t>
  </si>
  <si>
    <t>6. alpha (population mean)</t>
  </si>
  <si>
    <t>P(alpha &gt; 0)</t>
  </si>
  <si>
    <t>- beta: the upper tail depends on the prior (97.5% point 13.9 under HN(0,10), 9.3 under HN(0,5), 12.0 under HC(0,5)); the lower end stays near 0 in every case.</t>
  </si>
  <si>
    <t>- mu: tighter priors on beta give more shrinkage and narrower intervals; every school's 95% interval still includes 0 under every prior.</t>
  </si>
  <si>
    <t>- alpha is stable (~7.6; P(alpha &gt; 0) about 0.95 to 0.96 regardless of prior).</t>
  </si>
  <si>
    <t>- Conclusions are qualitatively unchanged: overall effect probably positive (~7-8 points), no school confidently ranked above another.</t>
  </si>
  <si>
    <t>- To reproduce in Stan: replace 'beta ~ normal(0, 10);' with 'beta ~ normal(0, 5);' or 'beta ~ cauchy(0, 5);' (beta has &lt;lower=0&gt;). Stan results will differ from these in the second decimal (Monte Carlo error).</t>
  </si>
  <si>
    <t>Interpretation of Results</t>
  </si>
  <si>
    <t>Topic</t>
  </si>
  <si>
    <t>Finding</t>
  </si>
  <si>
    <t>What it means</t>
  </si>
  <si>
    <t>Convergence</t>
  </si>
  <si>
    <t>All Rhat = 1.00; n_eff from 733 (lp__) to 2700; 4 chains, 2000 draws.</t>
  </si>
  <si>
    <t>The sampler converged and mixed well. The earlier Rhat problem is resolved (shared hyperparameters + non-centered parameterization).</t>
  </si>
  <si>
    <t>alpha (population mean effect)</t>
  </si>
  <si>
    <t>Mean 7.7, median 7.7, 95% interval -1.2 to 16.7.</t>
  </si>
  <si>
    <t>Average effect is probably positive (~8 points), but the interval includes 0, so a positive effect is plausible, not conclusive.</t>
  </si>
  <si>
    <t>beta (between-school SD)</t>
  </si>
  <si>
    <t>Median 4.0 (mean 4.9), 95% interval 0.2 to 14.3; right-skewed.</t>
  </si>
  <si>
    <t>Very uncertain: from 'all schools essentially identical' to 'substantial differences'. Data cannot pin this down with 8 schools.</t>
  </si>
  <si>
    <t>eta (standardized offsets)</t>
  </si>
  <si>
    <t>Means between -0.27 and +0.36, SDs near 1 (about the std_normal prior).</t>
  </si>
  <si>
    <t>Data barely move eta from the prior: weak evidence of school-to-school differences. Not normally interpreted directly.</t>
  </si>
  <si>
    <t>mu (school effects)</t>
  </si>
  <si>
    <t>Posterior means range 6.0 to 10.4; 95% intervals are wide (e.g. School A: -1.3 to 27.2).</t>
  </si>
  <si>
    <t>Strong partial pooling. Raw extremes shrink toward the mean (A: 28.4 -&gt; 10.4; C: -2.75 -&gt; 6.7).</t>
  </si>
  <si>
    <t>Ranking schools</t>
  </si>
  <si>
    <t>Posterior intervals overlap heavily.</t>
  </si>
  <si>
    <t>Do not read the order of mu means as a ranking of school quality.</t>
  </si>
  <si>
    <t>Bottom line</t>
  </si>
  <si>
    <t>Overall effect likely positive (~8 pts) with considerable uncertainty; little evidence any school truly differs.</t>
  </si>
  <si>
    <t>School A's high raw estimate is largely within what noise would produce.</t>
  </si>
  <si>
    <t>Caveat: prior sensitivity</t>
  </si>
  <si>
    <t>beta ~ half-normal(0, 10) influences the wide upper tail with only 8 schools.</t>
  </si>
  <si>
    <t>Re-run with normal(0, 5) or half-Cauchy and compare beta and mu before drawing firm conclusions.</t>
  </si>
  <si>
    <t>Non-hierarchical (no pooling) model</t>
  </si>
  <si>
    <t>Posterior means equal the raw estimates (28.8, 7.9, -3.0, 7.1, -0.7, 0.6, 17.8, 11.9); posterior SDs match the raw SEs; 95% intervals are very wide (average width 49.5). Converged: Rhat &lt;= 1.01, n_eff &gt; 2,600.</t>
  </si>
  <si>
    <t>Treats each school in isolation. School A's interval (0.6 to 58.1) excludes 0, suggesting a clear effect, while all other schools' intervals include 0.</t>
  </si>
  <si>
    <t>Hierarchical vs non-hierarchical</t>
  </si>
  <si>
    <t>Hierarchical shrinks the spread of school means from 31.8 to 4.4 points and cuts average interval width by about half (49.5 -&gt; 25.0). School A: 28.8 -&gt; 10.4, interval now includes 0.</t>
  </si>
  <si>
    <t>Partial pooling prevents over-reading noisy extreme estimates. The no-pooling result for School A is likely inflated by sampling noise; the hierarchical result is the more credible summary.</t>
  </si>
  <si>
    <t>Model Specification and Assumptions</t>
  </si>
  <si>
    <t>Model (non-centered hierarchical):</t>
  </si>
  <si>
    <t xml:space="preserve">  alpha ~ normal(0, 20)         population mean effect</t>
  </si>
  <si>
    <t xml:space="preserve">  beta ~ normal(0, 10)          half-normal (lower=0), between-school SD</t>
  </si>
  <si>
    <t xml:space="preserve">  eta[j] ~ std_normal()         standardized school offsets</t>
  </si>
  <si>
    <t xml:space="preserve">  mu[j] = alpha + beta * eta[j] school-level effect</t>
  </si>
  <si>
    <t xml:space="preserve">  treatment[j] ~ normal(mu[j], standard_error[j])</t>
  </si>
  <si>
    <t>Sources and assumptions:</t>
  </si>
  <si>
    <t>- Priors on alpha and beta are weakly informative choices on the scale of the data (my suggestion, not a requirement).</t>
  </si>
  <si>
    <t>- Interval columns use the 95% credible interval (2.5% to 97.5%).</t>
  </si>
  <si>
    <t>- Formula columns (n_eff / draws, includes-0 flags, shrinkage stats) recalculate if inputs change.</t>
  </si>
  <si>
    <t>Non-hierarchical model (for comparison):</t>
  </si>
  <si>
    <t xml:space="preserve">  treatment[j] ~ normal(mu[j], standard_error[j])   independent mu[j] per school, flat prior</t>
  </si>
  <si>
    <t>- 'Model Comparison' sets this model against the hierarchical run using beta ~ half-normal(0, 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</si>
</sst>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008000"/>
      <name val="Arial"/>
      <charset val="1"/>
    </font>
    <font>
      <b/>
      <sz val="10"/>
      <name val="Arial"/>
      <charset val="1"/>
    </font>
    <font>
      <sz val="1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0" borderId="1" xfId="0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2" fontId="3" fillId="0" borderId="0" xfId="0" applyNumberFormat="1" applyFont="1"/>
    <xf numFmtId="1" fontId="3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/>
    <xf numFmtId="2" fontId="6" fillId="0" borderId="1" xfId="0" applyNumberFormat="1" applyFont="1" applyBorder="1"/>
    <xf numFmtId="9" fontId="6" fillId="0" borderId="1" xfId="0" applyNumberFormat="1" applyFont="1" applyBorder="1"/>
    <xf numFmtId="0" fontId="8" fillId="0" borderId="0" xfId="0" applyFont="1"/>
    <xf numFmtId="2" fontId="3" fillId="0" borderId="1" xfId="0" applyNumberFormat="1" applyFont="1" applyBorder="1"/>
    <xf numFmtId="1" fontId="3" fillId="0" borderId="1" xfId="0" applyNumberFormat="1" applyFont="1" applyBorder="1"/>
    <xf numFmtId="9" fontId="3" fillId="0" borderId="1" xfId="0" applyNumberFormat="1" applyFont="1" applyBorder="1"/>
    <xf numFmtId="0" fontId="9" fillId="0" borderId="0" xfId="0" applyFont="1"/>
    <xf numFmtId="0" fontId="10" fillId="0" borderId="0" xfId="0" applyFont="1"/>
    <xf numFmtId="2" fontId="11" fillId="0" borderId="0" xfId="0" applyNumberFormat="1" applyFont="1"/>
    <xf numFmtId="9" fontId="3" fillId="0" borderId="0" xfId="0" applyNumberFormat="1" applyFont="1"/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14" customWidth="1"/>
    <col min="2" max="2" width="15" customWidth="1"/>
    <col min="3" max="11" width="9" customWidth="1"/>
    <col min="12" max="12" width="8" customWidth="1"/>
    <col min="13" max="13" width="13" customWidth="1"/>
    <col min="14" max="14" width="16" customWidth="1"/>
    <col min="15" max="15" width="13" customWidth="1"/>
  </cols>
  <sheetData>
    <row r="1" spans="1:15" ht="17.25" customHeight="1" x14ac:dyDescent="0.25">
      <c r="A1" s="1" t="s">
        <v>0</v>
      </c>
    </row>
    <row r="2" spans="1:15" ht="15" customHeight="1" x14ac:dyDescent="0.25">
      <c r="A2" s="2" t="s">
        <v>1</v>
      </c>
    </row>
    <row r="3" spans="1:15" ht="15" customHeight="1" x14ac:dyDescent="0.25">
      <c r="A3" s="3" t="s">
        <v>2</v>
      </c>
      <c r="B3" s="4">
        <v>2000</v>
      </c>
      <c r="C3" s="2" t="s">
        <v>3</v>
      </c>
    </row>
    <row r="5" spans="1:15" ht="31.5" customHeigh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</row>
    <row r="6" spans="1:15" ht="15" customHeight="1" x14ac:dyDescent="0.25">
      <c r="A6" s="6" t="s">
        <v>19</v>
      </c>
      <c r="B6" s="7" t="s">
        <v>20</v>
      </c>
      <c r="C6" s="8">
        <v>7.73</v>
      </c>
      <c r="D6" s="8">
        <v>0.12</v>
      </c>
      <c r="E6" s="8">
        <v>4.63</v>
      </c>
      <c r="F6" s="8">
        <v>-1.21</v>
      </c>
      <c r="G6" s="8">
        <v>4.55</v>
      </c>
      <c r="H6" s="8">
        <v>7.7</v>
      </c>
      <c r="I6" s="8">
        <v>10.82</v>
      </c>
      <c r="J6" s="8">
        <v>16.670000000000002</v>
      </c>
      <c r="K6" s="9">
        <v>1390</v>
      </c>
      <c r="L6" s="8">
        <v>1</v>
      </c>
      <c r="M6" s="10">
        <f t="shared" ref="M6:M24" si="0">K6/$B$3</f>
        <v>0.69499999999999995</v>
      </c>
      <c r="N6" s="11" t="str">
        <f t="shared" ref="N6:N24" si="1">IF(AND(F6&lt;=0,J6&gt;=0),"Yes","No")</f>
        <v>Yes</v>
      </c>
      <c r="O6" s="11" t="str">
        <f t="shared" ref="O6:O24" si="2">IF(L6&lt;=1.01,"Yes","No")</f>
        <v>Yes</v>
      </c>
    </row>
    <row r="7" spans="1:15" ht="15" customHeight="1" x14ac:dyDescent="0.25">
      <c r="A7" s="6" t="s">
        <v>21</v>
      </c>
      <c r="B7" s="7" t="s">
        <v>20</v>
      </c>
      <c r="C7" s="8">
        <v>4.87</v>
      </c>
      <c r="D7" s="8">
        <v>0.11</v>
      </c>
      <c r="E7" s="8">
        <v>3.82</v>
      </c>
      <c r="F7" s="8">
        <v>0.23</v>
      </c>
      <c r="G7" s="8">
        <v>1.84</v>
      </c>
      <c r="H7" s="8">
        <v>3.98</v>
      </c>
      <c r="I7" s="8">
        <v>6.96</v>
      </c>
      <c r="J7" s="8">
        <v>14.28</v>
      </c>
      <c r="K7" s="9">
        <v>1167</v>
      </c>
      <c r="L7" s="8">
        <v>1</v>
      </c>
      <c r="M7" s="10">
        <f t="shared" si="0"/>
        <v>0.58350000000000002</v>
      </c>
      <c r="N7" s="11" t="str">
        <f t="shared" si="1"/>
        <v>No</v>
      </c>
      <c r="O7" s="11" t="str">
        <f t="shared" si="2"/>
        <v>Yes</v>
      </c>
    </row>
    <row r="8" spans="1:15" ht="15" customHeight="1" x14ac:dyDescent="0.25">
      <c r="A8" s="6" t="s">
        <v>22</v>
      </c>
      <c r="B8" s="7" t="s">
        <v>23</v>
      </c>
      <c r="C8" s="8">
        <v>0.36</v>
      </c>
      <c r="D8" s="8">
        <v>0.02</v>
      </c>
      <c r="E8" s="8">
        <v>1</v>
      </c>
      <c r="F8" s="8">
        <v>-1.68</v>
      </c>
      <c r="G8" s="8">
        <v>-0.32</v>
      </c>
      <c r="H8" s="8">
        <v>0.36</v>
      </c>
      <c r="I8" s="8">
        <v>1.04</v>
      </c>
      <c r="J8" s="8">
        <v>2.29</v>
      </c>
      <c r="K8" s="9">
        <v>1988</v>
      </c>
      <c r="L8" s="8">
        <v>1</v>
      </c>
      <c r="M8" s="10">
        <f t="shared" si="0"/>
        <v>0.99399999999999999</v>
      </c>
      <c r="N8" s="11" t="str">
        <f t="shared" si="1"/>
        <v>Yes</v>
      </c>
      <c r="O8" s="11" t="str">
        <f t="shared" si="2"/>
        <v>Yes</v>
      </c>
    </row>
    <row r="9" spans="1:15" ht="15" customHeight="1" x14ac:dyDescent="0.25">
      <c r="A9" s="6" t="s">
        <v>24</v>
      </c>
      <c r="B9" s="7" t="s">
        <v>23</v>
      </c>
      <c r="C9" s="8">
        <v>0</v>
      </c>
      <c r="D9" s="8">
        <v>0.02</v>
      </c>
      <c r="E9" s="8">
        <v>0.88</v>
      </c>
      <c r="F9" s="8">
        <v>-1.75</v>
      </c>
      <c r="G9" s="8">
        <v>-0.59</v>
      </c>
      <c r="H9" s="8">
        <v>0.01</v>
      </c>
      <c r="I9" s="8">
        <v>0.56000000000000005</v>
      </c>
      <c r="J9" s="8">
        <v>1.79</v>
      </c>
      <c r="K9" s="9">
        <v>1992</v>
      </c>
      <c r="L9" s="8">
        <v>1</v>
      </c>
      <c r="M9" s="10">
        <f t="shared" si="0"/>
        <v>0.996</v>
      </c>
      <c r="N9" s="11" t="str">
        <f t="shared" si="1"/>
        <v>Yes</v>
      </c>
      <c r="O9" s="11" t="str">
        <f t="shared" si="2"/>
        <v>Yes</v>
      </c>
    </row>
    <row r="10" spans="1:15" ht="15" customHeight="1" x14ac:dyDescent="0.25">
      <c r="A10" s="6" t="s">
        <v>25</v>
      </c>
      <c r="B10" s="7" t="s">
        <v>23</v>
      </c>
      <c r="C10" s="8">
        <v>-0.15</v>
      </c>
      <c r="D10" s="8">
        <v>0.02</v>
      </c>
      <c r="E10" s="8">
        <v>0.98</v>
      </c>
      <c r="F10" s="8">
        <v>-2.0299999999999998</v>
      </c>
      <c r="G10" s="8">
        <v>-0.82</v>
      </c>
      <c r="H10" s="8">
        <v>-0.15</v>
      </c>
      <c r="I10" s="8">
        <v>0.53</v>
      </c>
      <c r="J10" s="8">
        <v>1.76</v>
      </c>
      <c r="K10" s="9">
        <v>1924</v>
      </c>
      <c r="L10" s="8">
        <v>1</v>
      </c>
      <c r="M10" s="10">
        <f t="shared" si="0"/>
        <v>0.96199999999999997</v>
      </c>
      <c r="N10" s="11" t="str">
        <f t="shared" si="1"/>
        <v>Yes</v>
      </c>
      <c r="O10" s="11" t="str">
        <f t="shared" si="2"/>
        <v>Yes</v>
      </c>
    </row>
    <row r="11" spans="1:15" ht="15" customHeight="1" x14ac:dyDescent="0.25">
      <c r="A11" s="6" t="s">
        <v>26</v>
      </c>
      <c r="B11" s="7" t="s">
        <v>23</v>
      </c>
      <c r="C11" s="8">
        <v>-0.05</v>
      </c>
      <c r="D11" s="8">
        <v>0.02</v>
      </c>
      <c r="E11" s="8">
        <v>0.89</v>
      </c>
      <c r="F11" s="8">
        <v>-1.75</v>
      </c>
      <c r="G11" s="8">
        <v>-0.66</v>
      </c>
      <c r="H11" s="8">
        <v>-0.04</v>
      </c>
      <c r="I11" s="8">
        <v>0.52</v>
      </c>
      <c r="J11" s="8">
        <v>1.69</v>
      </c>
      <c r="K11" s="9">
        <v>2700</v>
      </c>
      <c r="L11" s="8">
        <v>1</v>
      </c>
      <c r="M11" s="10">
        <f t="shared" si="0"/>
        <v>1.35</v>
      </c>
      <c r="N11" s="11" t="str">
        <f t="shared" si="1"/>
        <v>Yes</v>
      </c>
      <c r="O11" s="11" t="str">
        <f t="shared" si="2"/>
        <v>Yes</v>
      </c>
    </row>
    <row r="12" spans="1:15" ht="15" customHeight="1" x14ac:dyDescent="0.25">
      <c r="A12" s="6" t="s">
        <v>27</v>
      </c>
      <c r="B12" s="7" t="s">
        <v>23</v>
      </c>
      <c r="C12" s="8">
        <v>-0.27</v>
      </c>
      <c r="D12" s="8">
        <v>0.02</v>
      </c>
      <c r="E12" s="8">
        <v>0.91</v>
      </c>
      <c r="F12" s="8">
        <v>-1.99</v>
      </c>
      <c r="G12" s="8">
        <v>-0.9</v>
      </c>
      <c r="H12" s="8">
        <v>-0.3</v>
      </c>
      <c r="I12" s="8">
        <v>0.34</v>
      </c>
      <c r="J12" s="8">
        <v>1.57</v>
      </c>
      <c r="K12" s="9">
        <v>2008</v>
      </c>
      <c r="L12" s="8">
        <v>1</v>
      </c>
      <c r="M12" s="10">
        <f t="shared" si="0"/>
        <v>1.004</v>
      </c>
      <c r="N12" s="11" t="str">
        <f t="shared" si="1"/>
        <v>Yes</v>
      </c>
      <c r="O12" s="11" t="str">
        <f t="shared" si="2"/>
        <v>Yes</v>
      </c>
    </row>
    <row r="13" spans="1:15" ht="15" customHeight="1" x14ac:dyDescent="0.25">
      <c r="A13" s="6" t="s">
        <v>28</v>
      </c>
      <c r="B13" s="7" t="s">
        <v>23</v>
      </c>
      <c r="C13" s="8">
        <v>-0.16</v>
      </c>
      <c r="D13" s="8">
        <v>0.02</v>
      </c>
      <c r="E13" s="8">
        <v>0.94</v>
      </c>
      <c r="F13" s="8">
        <v>-2.02</v>
      </c>
      <c r="G13" s="8">
        <v>-0.79</v>
      </c>
      <c r="H13" s="8">
        <v>-0.17</v>
      </c>
      <c r="I13" s="8">
        <v>0.46</v>
      </c>
      <c r="J13" s="8">
        <v>1.7</v>
      </c>
      <c r="K13" s="9">
        <v>2245</v>
      </c>
      <c r="L13" s="8">
        <v>1</v>
      </c>
      <c r="M13" s="10">
        <f t="shared" si="0"/>
        <v>1.1225000000000001</v>
      </c>
      <c r="N13" s="11" t="str">
        <f t="shared" si="1"/>
        <v>Yes</v>
      </c>
      <c r="O13" s="11" t="str">
        <f t="shared" si="2"/>
        <v>Yes</v>
      </c>
    </row>
    <row r="14" spans="1:15" ht="15" customHeight="1" x14ac:dyDescent="0.25">
      <c r="A14" s="6" t="s">
        <v>29</v>
      </c>
      <c r="B14" s="7" t="s">
        <v>23</v>
      </c>
      <c r="C14" s="8">
        <v>0.31</v>
      </c>
      <c r="D14" s="8">
        <v>0.02</v>
      </c>
      <c r="E14" s="8">
        <v>0.93</v>
      </c>
      <c r="F14" s="8">
        <v>-1.55</v>
      </c>
      <c r="G14" s="8">
        <v>-0.34</v>
      </c>
      <c r="H14" s="8">
        <v>0.34</v>
      </c>
      <c r="I14" s="8">
        <v>0.92</v>
      </c>
      <c r="J14" s="8">
        <v>2.11</v>
      </c>
      <c r="K14" s="9">
        <v>2342</v>
      </c>
      <c r="L14" s="8">
        <v>1</v>
      </c>
      <c r="M14" s="10">
        <f t="shared" si="0"/>
        <v>1.171</v>
      </c>
      <c r="N14" s="11" t="str">
        <f t="shared" si="1"/>
        <v>Yes</v>
      </c>
      <c r="O14" s="11" t="str">
        <f t="shared" si="2"/>
        <v>Yes</v>
      </c>
    </row>
    <row r="15" spans="1:15" ht="15" customHeight="1" x14ac:dyDescent="0.25">
      <c r="A15" s="6" t="s">
        <v>30</v>
      </c>
      <c r="B15" s="7" t="s">
        <v>23</v>
      </c>
      <c r="C15" s="8">
        <v>0.06</v>
      </c>
      <c r="D15" s="8">
        <v>0.02</v>
      </c>
      <c r="E15" s="8">
        <v>0.96</v>
      </c>
      <c r="F15" s="8">
        <v>-1.77</v>
      </c>
      <c r="G15" s="8">
        <v>-0.6</v>
      </c>
      <c r="H15" s="8">
        <v>0.03</v>
      </c>
      <c r="I15" s="8">
        <v>0.72</v>
      </c>
      <c r="J15" s="8">
        <v>1.99</v>
      </c>
      <c r="K15" s="9">
        <v>2201</v>
      </c>
      <c r="L15" s="8">
        <v>1</v>
      </c>
      <c r="M15" s="10">
        <f t="shared" si="0"/>
        <v>1.1005</v>
      </c>
      <c r="N15" s="11" t="str">
        <f t="shared" si="1"/>
        <v>Yes</v>
      </c>
      <c r="O15" s="11" t="str">
        <f t="shared" si="2"/>
        <v>Yes</v>
      </c>
    </row>
    <row r="16" spans="1:15" ht="15" customHeight="1" x14ac:dyDescent="0.25">
      <c r="A16" s="6" t="s">
        <v>31</v>
      </c>
      <c r="B16" s="7" t="s">
        <v>32</v>
      </c>
      <c r="C16" s="8">
        <v>10.4</v>
      </c>
      <c r="D16" s="8">
        <v>0.18</v>
      </c>
      <c r="E16" s="8">
        <v>7.17</v>
      </c>
      <c r="F16" s="8">
        <v>-1.31</v>
      </c>
      <c r="G16" s="8">
        <v>5.85</v>
      </c>
      <c r="H16" s="8">
        <v>9.48</v>
      </c>
      <c r="I16" s="8">
        <v>14.27</v>
      </c>
      <c r="J16" s="8">
        <v>27.2</v>
      </c>
      <c r="K16" s="9">
        <v>1591</v>
      </c>
      <c r="L16" s="8">
        <v>1</v>
      </c>
      <c r="M16" s="10">
        <f t="shared" si="0"/>
        <v>0.79549999999999998</v>
      </c>
      <c r="N16" s="11" t="str">
        <f t="shared" si="1"/>
        <v>Yes</v>
      </c>
      <c r="O16" s="11" t="str">
        <f t="shared" si="2"/>
        <v>Yes</v>
      </c>
    </row>
    <row r="17" spans="1:15" ht="15" customHeight="1" x14ac:dyDescent="0.25">
      <c r="A17" s="6" t="s">
        <v>33</v>
      </c>
      <c r="B17" s="7" t="s">
        <v>32</v>
      </c>
      <c r="C17" s="8">
        <v>7.85</v>
      </c>
      <c r="D17" s="8">
        <v>0.12</v>
      </c>
      <c r="E17" s="8">
        <v>5.58</v>
      </c>
      <c r="F17" s="8">
        <v>-3.22</v>
      </c>
      <c r="G17" s="8">
        <v>4.33</v>
      </c>
      <c r="H17" s="8">
        <v>7.88</v>
      </c>
      <c r="I17" s="8">
        <v>11.37</v>
      </c>
      <c r="J17" s="8">
        <v>19.37</v>
      </c>
      <c r="K17" s="9">
        <v>2323</v>
      </c>
      <c r="L17" s="8">
        <v>1</v>
      </c>
      <c r="M17" s="10">
        <f t="shared" si="0"/>
        <v>1.1615</v>
      </c>
      <c r="N17" s="11" t="str">
        <f t="shared" si="1"/>
        <v>Yes</v>
      </c>
      <c r="O17" s="11" t="str">
        <f t="shared" si="2"/>
        <v>Yes</v>
      </c>
    </row>
    <row r="18" spans="1:15" ht="15" customHeight="1" x14ac:dyDescent="0.25">
      <c r="A18" s="6" t="s">
        <v>34</v>
      </c>
      <c r="B18" s="7" t="s">
        <v>32</v>
      </c>
      <c r="C18" s="8">
        <v>6.74</v>
      </c>
      <c r="D18" s="8">
        <v>0.16</v>
      </c>
      <c r="E18" s="8">
        <v>6.76</v>
      </c>
      <c r="F18" s="8">
        <v>-8.15</v>
      </c>
      <c r="G18" s="8">
        <v>2.96</v>
      </c>
      <c r="H18" s="8">
        <v>7.15</v>
      </c>
      <c r="I18" s="8">
        <v>10.92</v>
      </c>
      <c r="J18" s="8">
        <v>18.920000000000002</v>
      </c>
      <c r="K18" s="9">
        <v>1785</v>
      </c>
      <c r="L18" s="8">
        <v>1</v>
      </c>
      <c r="M18" s="10">
        <f t="shared" si="0"/>
        <v>0.89249999999999996</v>
      </c>
      <c r="N18" s="11" t="str">
        <f t="shared" si="1"/>
        <v>Yes</v>
      </c>
      <c r="O18" s="11" t="str">
        <f t="shared" si="2"/>
        <v>Yes</v>
      </c>
    </row>
    <row r="19" spans="1:15" ht="15" customHeight="1" x14ac:dyDescent="0.25">
      <c r="A19" s="6" t="s">
        <v>35</v>
      </c>
      <c r="B19" s="7" t="s">
        <v>32</v>
      </c>
      <c r="C19" s="8">
        <v>7.47</v>
      </c>
      <c r="D19" s="8">
        <v>0.12</v>
      </c>
      <c r="E19" s="8">
        <v>5.79</v>
      </c>
      <c r="F19" s="8">
        <v>-3.78</v>
      </c>
      <c r="G19" s="8">
        <v>3.73</v>
      </c>
      <c r="H19" s="8">
        <v>7.46</v>
      </c>
      <c r="I19" s="8">
        <v>11.15</v>
      </c>
      <c r="J19" s="8">
        <v>19.38</v>
      </c>
      <c r="K19" s="9">
        <v>2423</v>
      </c>
      <c r="L19" s="8">
        <v>1</v>
      </c>
      <c r="M19" s="10">
        <f t="shared" si="0"/>
        <v>1.2115</v>
      </c>
      <c r="N19" s="11" t="str">
        <f t="shared" si="1"/>
        <v>Yes</v>
      </c>
      <c r="O19" s="11" t="str">
        <f t="shared" si="2"/>
        <v>Yes</v>
      </c>
    </row>
    <row r="20" spans="1:15" ht="15" customHeight="1" x14ac:dyDescent="0.25">
      <c r="A20" s="6" t="s">
        <v>36</v>
      </c>
      <c r="B20" s="7" t="s">
        <v>32</v>
      </c>
      <c r="C20" s="8">
        <v>6</v>
      </c>
      <c r="D20" s="8">
        <v>0.14000000000000001</v>
      </c>
      <c r="E20" s="8">
        <v>5.83</v>
      </c>
      <c r="F20" s="8">
        <v>-6.37</v>
      </c>
      <c r="G20" s="8">
        <v>2.56</v>
      </c>
      <c r="H20" s="8">
        <v>6.41</v>
      </c>
      <c r="I20" s="8">
        <v>9.7799999999999994</v>
      </c>
      <c r="J20" s="8">
        <v>16.510000000000002</v>
      </c>
      <c r="K20" s="9">
        <v>1839</v>
      </c>
      <c r="L20" s="8">
        <v>1</v>
      </c>
      <c r="M20" s="10">
        <f t="shared" si="0"/>
        <v>0.91949999999999998</v>
      </c>
      <c r="N20" s="11" t="str">
        <f t="shared" si="1"/>
        <v>Yes</v>
      </c>
      <c r="O20" s="11" t="str">
        <f t="shared" si="2"/>
        <v>Yes</v>
      </c>
    </row>
    <row r="21" spans="1:15" ht="15" customHeight="1" x14ac:dyDescent="0.25">
      <c r="A21" s="6" t="s">
        <v>37</v>
      </c>
      <c r="B21" s="7" t="s">
        <v>32</v>
      </c>
      <c r="C21" s="8">
        <v>6.57</v>
      </c>
      <c r="D21" s="8">
        <v>0.14000000000000001</v>
      </c>
      <c r="E21" s="8">
        <v>6.23</v>
      </c>
      <c r="F21" s="8">
        <v>-6.95</v>
      </c>
      <c r="G21" s="8">
        <v>2.93</v>
      </c>
      <c r="H21" s="8">
        <v>6.92</v>
      </c>
      <c r="I21" s="8">
        <v>10.49</v>
      </c>
      <c r="J21" s="8">
        <v>17.86</v>
      </c>
      <c r="K21" s="9">
        <v>1881</v>
      </c>
      <c r="L21" s="8">
        <v>1</v>
      </c>
      <c r="M21" s="10">
        <f t="shared" si="0"/>
        <v>0.9405</v>
      </c>
      <c r="N21" s="11" t="str">
        <f t="shared" si="1"/>
        <v>Yes</v>
      </c>
      <c r="O21" s="11" t="str">
        <f t="shared" si="2"/>
        <v>Yes</v>
      </c>
    </row>
    <row r="22" spans="1:15" ht="15" customHeight="1" x14ac:dyDescent="0.25">
      <c r="A22" s="6" t="s">
        <v>38</v>
      </c>
      <c r="B22" s="7" t="s">
        <v>32</v>
      </c>
      <c r="C22" s="8">
        <v>9.85</v>
      </c>
      <c r="D22" s="8">
        <v>0.14000000000000001</v>
      </c>
      <c r="E22" s="8">
        <v>6.16</v>
      </c>
      <c r="F22" s="8">
        <v>-1.44</v>
      </c>
      <c r="G22" s="8">
        <v>5.71</v>
      </c>
      <c r="H22" s="8">
        <v>9.56</v>
      </c>
      <c r="I22" s="8">
        <v>13.39</v>
      </c>
      <c r="J22" s="8">
        <v>23.72</v>
      </c>
      <c r="K22" s="9">
        <v>1876</v>
      </c>
      <c r="L22" s="8">
        <v>1</v>
      </c>
      <c r="M22" s="10">
        <f t="shared" si="0"/>
        <v>0.93799999999999994</v>
      </c>
      <c r="N22" s="11" t="str">
        <f t="shared" si="1"/>
        <v>Yes</v>
      </c>
      <c r="O22" s="11" t="str">
        <f t="shared" si="2"/>
        <v>Yes</v>
      </c>
    </row>
    <row r="23" spans="1:15" ht="15" customHeight="1" x14ac:dyDescent="0.25">
      <c r="A23" s="6" t="s">
        <v>39</v>
      </c>
      <c r="B23" s="7" t="s">
        <v>32</v>
      </c>
      <c r="C23" s="8">
        <v>8.15</v>
      </c>
      <c r="D23" s="8">
        <v>0.15</v>
      </c>
      <c r="E23" s="8">
        <v>6.54</v>
      </c>
      <c r="F23" s="8">
        <v>-4.32</v>
      </c>
      <c r="G23" s="8">
        <v>4.12</v>
      </c>
      <c r="H23" s="8">
        <v>7.87</v>
      </c>
      <c r="I23" s="8">
        <v>12.17</v>
      </c>
      <c r="J23" s="8">
        <v>21.85</v>
      </c>
      <c r="K23" s="9">
        <v>1828</v>
      </c>
      <c r="L23" s="8">
        <v>1</v>
      </c>
      <c r="M23" s="10">
        <f t="shared" si="0"/>
        <v>0.91400000000000003</v>
      </c>
      <c r="N23" s="11" t="str">
        <f t="shared" si="1"/>
        <v>Yes</v>
      </c>
      <c r="O23" s="11" t="str">
        <f t="shared" si="2"/>
        <v>Yes</v>
      </c>
    </row>
    <row r="24" spans="1:15" ht="15" customHeight="1" x14ac:dyDescent="0.25">
      <c r="A24" s="6" t="s">
        <v>40</v>
      </c>
      <c r="B24" s="7" t="s">
        <v>41</v>
      </c>
      <c r="C24" s="8">
        <v>-5.52</v>
      </c>
      <c r="D24" s="8">
        <v>0.09</v>
      </c>
      <c r="E24" s="8">
        <v>2.41</v>
      </c>
      <c r="F24" s="8">
        <v>-10.97</v>
      </c>
      <c r="G24" s="8">
        <v>-6.98</v>
      </c>
      <c r="H24" s="8">
        <v>-5.3</v>
      </c>
      <c r="I24" s="8">
        <v>-3.77</v>
      </c>
      <c r="J24" s="8">
        <v>-1.54</v>
      </c>
      <c r="K24" s="9">
        <v>733</v>
      </c>
      <c r="L24" s="8">
        <v>1</v>
      </c>
      <c r="M24" s="10">
        <f t="shared" si="0"/>
        <v>0.36649999999999999</v>
      </c>
      <c r="N24" s="11" t="str">
        <f t="shared" si="1"/>
        <v>No</v>
      </c>
      <c r="O24" s="11" t="str">
        <f t="shared" si="2"/>
        <v>Yes</v>
      </c>
    </row>
    <row r="26" spans="1:15" ht="15" customHeight="1" x14ac:dyDescent="0.25">
      <c r="A26" s="3" t="s">
        <v>42</v>
      </c>
    </row>
    <row r="27" spans="1:15" ht="15" customHeight="1" x14ac:dyDescent="0.25">
      <c r="A27" s="12" t="s">
        <v>43</v>
      </c>
      <c r="C27" s="13">
        <f>MAX(L6:L24)</f>
        <v>1</v>
      </c>
    </row>
    <row r="28" spans="1:15" ht="15" customHeight="1" x14ac:dyDescent="0.25">
      <c r="A28" s="12" t="s">
        <v>44</v>
      </c>
      <c r="C28" s="14">
        <f>MIN(K6:K24)</f>
        <v>733</v>
      </c>
    </row>
    <row r="29" spans="1:15" ht="15" customHeight="1" x14ac:dyDescent="0.25">
      <c r="A29" s="12" t="s">
        <v>45</v>
      </c>
      <c r="C29" s="3" t="str">
        <f>IF(COUNTIF(O6:O24,"No")=0,"Yes","No")</f>
        <v>Yes</v>
      </c>
    </row>
    <row r="31" spans="1:15" ht="15" customHeight="1" x14ac:dyDescent="0.25">
      <c r="A31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14" customWidth="1"/>
    <col min="2" max="2" width="15" customWidth="1"/>
    <col min="3" max="11" width="9" customWidth="1"/>
    <col min="12" max="12" width="8" customWidth="1"/>
    <col min="13" max="13" width="13" customWidth="1"/>
    <col min="14" max="14" width="16" customWidth="1"/>
    <col min="15" max="15" width="13" customWidth="1"/>
  </cols>
  <sheetData>
    <row r="1" spans="1:15" ht="17.25" customHeight="1" x14ac:dyDescent="0.25">
      <c r="A1" s="1" t="s">
        <v>47</v>
      </c>
    </row>
    <row r="2" spans="1:15" ht="15" customHeight="1" x14ac:dyDescent="0.25">
      <c r="A2" s="2" t="s">
        <v>48</v>
      </c>
    </row>
    <row r="3" spans="1:15" ht="15" customHeight="1" x14ac:dyDescent="0.25">
      <c r="A3" s="3" t="s">
        <v>2</v>
      </c>
      <c r="B3" s="4">
        <v>2000</v>
      </c>
      <c r="C3" s="2" t="s">
        <v>3</v>
      </c>
    </row>
    <row r="5" spans="1:15" ht="43.5" customHeigh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</row>
    <row r="6" spans="1:15" ht="15" customHeight="1" x14ac:dyDescent="0.25">
      <c r="A6" s="6" t="s">
        <v>31</v>
      </c>
      <c r="B6" s="7" t="s">
        <v>32</v>
      </c>
      <c r="C6" s="8">
        <v>28.84</v>
      </c>
      <c r="D6" s="8">
        <v>0.26</v>
      </c>
      <c r="E6" s="8">
        <v>14.86</v>
      </c>
      <c r="F6" s="8">
        <v>0.62</v>
      </c>
      <c r="G6" s="8">
        <v>18.72</v>
      </c>
      <c r="H6" s="8">
        <v>28.51</v>
      </c>
      <c r="I6" s="8">
        <v>39</v>
      </c>
      <c r="J6" s="8">
        <v>58.11</v>
      </c>
      <c r="K6" s="9">
        <v>3193</v>
      </c>
      <c r="L6" s="8">
        <v>1</v>
      </c>
      <c r="M6" s="10">
        <f t="shared" ref="M6:M14" si="0">K6/$B$3</f>
        <v>1.5965</v>
      </c>
      <c r="N6" s="11" t="str">
        <f t="shared" ref="N6:N14" si="1">IF(AND(F6&lt;=0,J6&gt;=0),"Yes","No")</f>
        <v>No</v>
      </c>
      <c r="O6" s="11" t="str">
        <f t="shared" ref="O6:O14" si="2">IF(L6&lt;=1.01,"Yes","No")</f>
        <v>Yes</v>
      </c>
    </row>
    <row r="7" spans="1:15" ht="15" customHeight="1" x14ac:dyDescent="0.25">
      <c r="A7" s="6" t="s">
        <v>33</v>
      </c>
      <c r="B7" s="7" t="s">
        <v>32</v>
      </c>
      <c r="C7" s="8">
        <v>7.86</v>
      </c>
      <c r="D7" s="8">
        <v>0.19</v>
      </c>
      <c r="E7" s="8">
        <v>10.16</v>
      </c>
      <c r="F7" s="8">
        <v>-12.43</v>
      </c>
      <c r="G7" s="8">
        <v>1.03</v>
      </c>
      <c r="H7" s="8">
        <v>7.84</v>
      </c>
      <c r="I7" s="8">
        <v>14.65</v>
      </c>
      <c r="J7" s="8">
        <v>27.77</v>
      </c>
      <c r="K7" s="9">
        <v>2980</v>
      </c>
      <c r="L7" s="8">
        <v>1</v>
      </c>
      <c r="M7" s="10">
        <f t="shared" si="0"/>
        <v>1.49</v>
      </c>
      <c r="N7" s="11" t="str">
        <f t="shared" si="1"/>
        <v>Yes</v>
      </c>
      <c r="O7" s="11" t="str">
        <f t="shared" si="2"/>
        <v>Yes</v>
      </c>
    </row>
    <row r="8" spans="1:15" ht="15" customHeight="1" x14ac:dyDescent="0.25">
      <c r="A8" s="6" t="s">
        <v>34</v>
      </c>
      <c r="B8" s="7" t="s">
        <v>32</v>
      </c>
      <c r="C8" s="8">
        <v>-2.96</v>
      </c>
      <c r="D8" s="8">
        <v>0.32</v>
      </c>
      <c r="E8" s="8">
        <v>16.829999999999998</v>
      </c>
      <c r="F8" s="8">
        <v>-34.93</v>
      </c>
      <c r="G8" s="8">
        <v>-14.57</v>
      </c>
      <c r="H8" s="8">
        <v>-3.6</v>
      </c>
      <c r="I8" s="8">
        <v>8.6199999999999992</v>
      </c>
      <c r="J8" s="8">
        <v>29.49</v>
      </c>
      <c r="K8" s="9">
        <v>2827</v>
      </c>
      <c r="L8" s="8">
        <v>1</v>
      </c>
      <c r="M8" s="10">
        <f t="shared" si="0"/>
        <v>1.4135</v>
      </c>
      <c r="N8" s="11" t="str">
        <f t="shared" si="1"/>
        <v>Yes</v>
      </c>
      <c r="O8" s="11" t="str">
        <f t="shared" si="2"/>
        <v>Yes</v>
      </c>
    </row>
    <row r="9" spans="1:15" ht="15" customHeight="1" x14ac:dyDescent="0.25">
      <c r="A9" s="6" t="s">
        <v>35</v>
      </c>
      <c r="B9" s="7" t="s">
        <v>32</v>
      </c>
      <c r="C9" s="8">
        <v>7.08</v>
      </c>
      <c r="D9" s="8">
        <v>0.19</v>
      </c>
      <c r="E9" s="8">
        <v>11.03</v>
      </c>
      <c r="F9" s="8">
        <v>-14.55</v>
      </c>
      <c r="G9" s="8">
        <v>-0.2</v>
      </c>
      <c r="H9" s="8">
        <v>7</v>
      </c>
      <c r="I9" s="8">
        <v>14.21</v>
      </c>
      <c r="J9" s="8">
        <v>28.24</v>
      </c>
      <c r="K9" s="9">
        <v>3275</v>
      </c>
      <c r="L9" s="8">
        <v>1</v>
      </c>
      <c r="M9" s="10">
        <f t="shared" si="0"/>
        <v>1.6375</v>
      </c>
      <c r="N9" s="11" t="str">
        <f t="shared" si="1"/>
        <v>Yes</v>
      </c>
      <c r="O9" s="11" t="str">
        <f t="shared" si="2"/>
        <v>Yes</v>
      </c>
    </row>
    <row r="10" spans="1:15" ht="15" customHeight="1" x14ac:dyDescent="0.25">
      <c r="A10" s="6" t="s">
        <v>36</v>
      </c>
      <c r="B10" s="7" t="s">
        <v>32</v>
      </c>
      <c r="C10" s="8">
        <v>-0.7</v>
      </c>
      <c r="D10" s="8">
        <v>0.19</v>
      </c>
      <c r="E10" s="8">
        <v>9.86</v>
      </c>
      <c r="F10" s="8">
        <v>-19.75</v>
      </c>
      <c r="G10" s="8">
        <v>-7.15</v>
      </c>
      <c r="H10" s="8">
        <v>-0.82</v>
      </c>
      <c r="I10" s="8">
        <v>5.53</v>
      </c>
      <c r="J10" s="8">
        <v>19.399999999999999</v>
      </c>
      <c r="K10" s="9">
        <v>2600</v>
      </c>
      <c r="L10" s="8">
        <v>1</v>
      </c>
      <c r="M10" s="10">
        <f t="shared" si="0"/>
        <v>1.3</v>
      </c>
      <c r="N10" s="11" t="str">
        <f t="shared" si="1"/>
        <v>Yes</v>
      </c>
      <c r="O10" s="11" t="str">
        <f t="shared" si="2"/>
        <v>Yes</v>
      </c>
    </row>
    <row r="11" spans="1:15" ht="15" customHeight="1" x14ac:dyDescent="0.25">
      <c r="A11" s="6" t="s">
        <v>37</v>
      </c>
      <c r="B11" s="7" t="s">
        <v>32</v>
      </c>
      <c r="C11" s="8">
        <v>0.57999999999999996</v>
      </c>
      <c r="D11" s="8">
        <v>0.21</v>
      </c>
      <c r="E11" s="8">
        <v>11.26</v>
      </c>
      <c r="F11" s="8">
        <v>-20.95</v>
      </c>
      <c r="G11" s="8">
        <v>-6.88</v>
      </c>
      <c r="H11" s="8">
        <v>0.47</v>
      </c>
      <c r="I11" s="8">
        <v>8.1999999999999993</v>
      </c>
      <c r="J11" s="8">
        <v>22.18</v>
      </c>
      <c r="K11" s="9">
        <v>2829</v>
      </c>
      <c r="L11" s="8">
        <v>1</v>
      </c>
      <c r="M11" s="10">
        <f t="shared" si="0"/>
        <v>1.4145000000000001</v>
      </c>
      <c r="N11" s="11" t="str">
        <f t="shared" si="1"/>
        <v>Yes</v>
      </c>
      <c r="O11" s="11" t="str">
        <f t="shared" si="2"/>
        <v>Yes</v>
      </c>
    </row>
    <row r="12" spans="1:15" ht="15" customHeight="1" x14ac:dyDescent="0.25">
      <c r="A12" s="6" t="s">
        <v>38</v>
      </c>
      <c r="B12" s="7" t="s">
        <v>32</v>
      </c>
      <c r="C12" s="8">
        <v>17.82</v>
      </c>
      <c r="D12" s="8">
        <v>0.19</v>
      </c>
      <c r="E12" s="8">
        <v>10.75</v>
      </c>
      <c r="F12" s="8">
        <v>-3.86</v>
      </c>
      <c r="G12" s="8">
        <v>10.86</v>
      </c>
      <c r="H12" s="8">
        <v>17.72</v>
      </c>
      <c r="I12" s="8">
        <v>25.09</v>
      </c>
      <c r="J12" s="8">
        <v>38.840000000000003</v>
      </c>
      <c r="K12" s="9">
        <v>3211</v>
      </c>
      <c r="L12" s="8">
        <v>1</v>
      </c>
      <c r="M12" s="10">
        <f t="shared" si="0"/>
        <v>1.6054999999999999</v>
      </c>
      <c r="N12" s="11" t="str">
        <f t="shared" si="1"/>
        <v>Yes</v>
      </c>
      <c r="O12" s="11" t="str">
        <f t="shared" si="2"/>
        <v>Yes</v>
      </c>
    </row>
    <row r="13" spans="1:15" ht="15" customHeight="1" x14ac:dyDescent="0.25">
      <c r="A13" s="6" t="s">
        <v>39</v>
      </c>
      <c r="B13" s="7" t="s">
        <v>32</v>
      </c>
      <c r="C13" s="8">
        <v>11.85</v>
      </c>
      <c r="D13" s="8">
        <v>0.33</v>
      </c>
      <c r="E13" s="8">
        <v>16.98</v>
      </c>
      <c r="F13" s="8">
        <v>-21.49</v>
      </c>
      <c r="G13" s="8">
        <v>0.2</v>
      </c>
      <c r="H13" s="8">
        <v>12.08</v>
      </c>
      <c r="I13" s="8">
        <v>23.38</v>
      </c>
      <c r="J13" s="8">
        <v>44.78</v>
      </c>
      <c r="K13" s="9">
        <v>2609</v>
      </c>
      <c r="L13" s="8">
        <v>1</v>
      </c>
      <c r="M13" s="10">
        <f t="shared" si="0"/>
        <v>1.3045</v>
      </c>
      <c r="N13" s="11" t="str">
        <f t="shared" si="1"/>
        <v>Yes</v>
      </c>
      <c r="O13" s="11" t="str">
        <f t="shared" si="2"/>
        <v>Yes</v>
      </c>
    </row>
    <row r="14" spans="1:15" ht="15" customHeight="1" x14ac:dyDescent="0.25">
      <c r="A14" s="6" t="s">
        <v>40</v>
      </c>
      <c r="B14" s="7" t="s">
        <v>41</v>
      </c>
      <c r="C14" s="8">
        <v>-4.07</v>
      </c>
      <c r="D14" s="8">
        <v>0.08</v>
      </c>
      <c r="E14" s="8">
        <v>2.08</v>
      </c>
      <c r="F14" s="8">
        <v>-9.06</v>
      </c>
      <c r="G14" s="8">
        <v>-5.26</v>
      </c>
      <c r="H14" s="8">
        <v>-3.68</v>
      </c>
      <c r="I14" s="8">
        <v>-2.5499999999999998</v>
      </c>
      <c r="J14" s="8">
        <v>-1.07</v>
      </c>
      <c r="K14" s="9">
        <v>643</v>
      </c>
      <c r="L14" s="8">
        <v>1.01</v>
      </c>
      <c r="M14" s="10">
        <f t="shared" si="0"/>
        <v>0.32150000000000001</v>
      </c>
      <c r="N14" s="11" t="str">
        <f t="shared" si="1"/>
        <v>No</v>
      </c>
      <c r="O14" s="11" t="str">
        <f t="shared" si="2"/>
        <v>Yes</v>
      </c>
    </row>
    <row r="16" spans="1:15" ht="15" customHeight="1" x14ac:dyDescent="0.25">
      <c r="A16" s="3" t="s">
        <v>42</v>
      </c>
    </row>
    <row r="17" spans="1:3" ht="15" customHeight="1" x14ac:dyDescent="0.25">
      <c r="A17" s="12" t="s">
        <v>43</v>
      </c>
      <c r="C17" s="13">
        <f>MAX(L6:L14)</f>
        <v>1.01</v>
      </c>
    </row>
    <row r="18" spans="1:3" ht="15" customHeight="1" x14ac:dyDescent="0.25">
      <c r="A18" s="12" t="s">
        <v>44</v>
      </c>
      <c r="C18" s="14">
        <f>MIN(K6:K14)</f>
        <v>643</v>
      </c>
    </row>
    <row r="19" spans="1:3" ht="15" customHeight="1" x14ac:dyDescent="0.25">
      <c r="A19" s="12" t="s">
        <v>45</v>
      </c>
      <c r="C19" s="3" t="str">
        <f>IF(COUNTIF(O6:O14,"No")=0,"Yes","No")</f>
        <v>Yes</v>
      </c>
    </row>
    <row r="21" spans="1:3" ht="15" customHeight="1" x14ac:dyDescent="0.25">
      <c r="A21" s="2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40" customWidth="1"/>
    <col min="2" max="18" width="14" customWidth="1"/>
  </cols>
  <sheetData>
    <row r="1" spans="1:18" ht="17.25" customHeight="1" x14ac:dyDescent="0.25">
      <c r="A1" s="1" t="s">
        <v>50</v>
      </c>
    </row>
    <row r="2" spans="1:18" ht="15" customHeight="1" x14ac:dyDescent="0.25">
      <c r="A2" s="2" t="s">
        <v>51</v>
      </c>
    </row>
    <row r="4" spans="1:18" ht="43.5" customHeight="1" x14ac:dyDescent="0.25">
      <c r="A4" s="5" t="s">
        <v>52</v>
      </c>
      <c r="B4" s="5" t="s">
        <v>53</v>
      </c>
      <c r="C4" s="5" t="s">
        <v>54</v>
      </c>
      <c r="D4" s="15" t="s">
        <v>55</v>
      </c>
      <c r="E4" s="16" t="s">
        <v>56</v>
      </c>
      <c r="F4" s="5" t="s">
        <v>57</v>
      </c>
      <c r="G4" s="15" t="s">
        <v>58</v>
      </c>
      <c r="H4" s="16" t="s">
        <v>59</v>
      </c>
      <c r="I4" s="5" t="s">
        <v>60</v>
      </c>
      <c r="J4" s="15" t="s">
        <v>61</v>
      </c>
      <c r="K4" s="15" t="s">
        <v>62</v>
      </c>
      <c r="L4" s="15" t="s">
        <v>63</v>
      </c>
      <c r="M4" s="16" t="s">
        <v>64</v>
      </c>
      <c r="N4" s="16" t="s">
        <v>65</v>
      </c>
      <c r="O4" s="16" t="s">
        <v>66</v>
      </c>
      <c r="P4" s="5" t="s">
        <v>67</v>
      </c>
      <c r="Q4" s="15" t="s">
        <v>68</v>
      </c>
      <c r="R4" s="16" t="s">
        <v>69</v>
      </c>
    </row>
    <row r="5" spans="1:18" ht="15" customHeight="1" x14ac:dyDescent="0.25">
      <c r="A5" s="6" t="s">
        <v>70</v>
      </c>
      <c r="B5" s="17">
        <f>'School Shrinkage'!B5</f>
        <v>28.39</v>
      </c>
      <c r="C5" s="17">
        <f>'School Shrinkage'!C5</f>
        <v>14.9</v>
      </c>
      <c r="D5" s="17">
        <f>'Non-Hier Summary'!C6</f>
        <v>28.84</v>
      </c>
      <c r="E5" s="17">
        <f>'Posterior Summary'!C16</f>
        <v>10.4</v>
      </c>
      <c r="F5" s="18">
        <f t="shared" ref="F5:F12" si="0">E5-D5</f>
        <v>-18.439999999999998</v>
      </c>
      <c r="G5" s="17">
        <f>'Non-Hier Summary'!E6</f>
        <v>14.86</v>
      </c>
      <c r="H5" s="17">
        <f>'Posterior Summary'!E16</f>
        <v>7.17</v>
      </c>
      <c r="I5" s="18">
        <f t="shared" ref="I5:I12" si="1">H5/G5</f>
        <v>0.48250336473755051</v>
      </c>
      <c r="J5" s="17">
        <f>'Non-Hier Summary'!F6</f>
        <v>0.62</v>
      </c>
      <c r="K5" s="17">
        <f>'Non-Hier Summary'!J6</f>
        <v>58.11</v>
      </c>
      <c r="L5" s="18">
        <f t="shared" ref="L5:L12" si="2">K5-J5</f>
        <v>57.49</v>
      </c>
      <c r="M5" s="17">
        <f>'Posterior Summary'!F16</f>
        <v>-1.31</v>
      </c>
      <c r="N5" s="17">
        <f>'Posterior Summary'!J16</f>
        <v>27.2</v>
      </c>
      <c r="O5" s="18">
        <f t="shared" ref="O5:O12" si="3">N5-M5</f>
        <v>28.509999999999998</v>
      </c>
      <c r="P5" s="19">
        <f t="shared" ref="P5:P12" si="4">1-O5/L5</f>
        <v>0.50408766742042099</v>
      </c>
      <c r="Q5" s="10" t="str">
        <f t="shared" ref="Q5:Q12" si="5">IF(AND(J5&lt;=0,K5&gt;=0),"Yes","No")</f>
        <v>No</v>
      </c>
      <c r="R5" s="10" t="str">
        <f t="shared" ref="R5:R12" si="6">IF(AND(M5&lt;=0,N5&gt;=0),"Yes","No")</f>
        <v>Yes</v>
      </c>
    </row>
    <row r="6" spans="1:18" ht="15" customHeight="1" x14ac:dyDescent="0.25">
      <c r="A6" s="6" t="s">
        <v>71</v>
      </c>
      <c r="B6" s="17">
        <f>'School Shrinkage'!B6</f>
        <v>7.94</v>
      </c>
      <c r="C6" s="17">
        <f>'School Shrinkage'!C6</f>
        <v>10.199999999999999</v>
      </c>
      <c r="D6" s="17">
        <f>'Non-Hier Summary'!C7</f>
        <v>7.86</v>
      </c>
      <c r="E6" s="17">
        <f>'Posterior Summary'!C17</f>
        <v>7.85</v>
      </c>
      <c r="F6" s="18">
        <f t="shared" si="0"/>
        <v>-1.0000000000000675E-2</v>
      </c>
      <c r="G6" s="17">
        <f>'Non-Hier Summary'!E7</f>
        <v>10.16</v>
      </c>
      <c r="H6" s="17">
        <f>'Posterior Summary'!E17</f>
        <v>5.58</v>
      </c>
      <c r="I6" s="18">
        <f t="shared" si="1"/>
        <v>0.54921259842519687</v>
      </c>
      <c r="J6" s="17">
        <f>'Non-Hier Summary'!F7</f>
        <v>-12.43</v>
      </c>
      <c r="K6" s="17">
        <f>'Non-Hier Summary'!J7</f>
        <v>27.77</v>
      </c>
      <c r="L6" s="18">
        <f t="shared" si="2"/>
        <v>40.200000000000003</v>
      </c>
      <c r="M6" s="17">
        <f>'Posterior Summary'!F17</f>
        <v>-3.22</v>
      </c>
      <c r="N6" s="17">
        <f>'Posterior Summary'!J17</f>
        <v>19.37</v>
      </c>
      <c r="O6" s="18">
        <f t="shared" si="3"/>
        <v>22.59</v>
      </c>
      <c r="P6" s="19">
        <f t="shared" si="4"/>
        <v>0.43805970149253737</v>
      </c>
      <c r="Q6" s="10" t="str">
        <f t="shared" si="5"/>
        <v>Yes</v>
      </c>
      <c r="R6" s="10" t="str">
        <f t="shared" si="6"/>
        <v>Yes</v>
      </c>
    </row>
    <row r="7" spans="1:18" ht="15" customHeight="1" x14ac:dyDescent="0.25">
      <c r="A7" s="6" t="s">
        <v>72</v>
      </c>
      <c r="B7" s="17">
        <f>'School Shrinkage'!B7</f>
        <v>-2.75</v>
      </c>
      <c r="C7" s="17">
        <f>'School Shrinkage'!C7</f>
        <v>16.3</v>
      </c>
      <c r="D7" s="17">
        <f>'Non-Hier Summary'!C8</f>
        <v>-2.96</v>
      </c>
      <c r="E7" s="17">
        <f>'Posterior Summary'!C18</f>
        <v>6.74</v>
      </c>
      <c r="F7" s="18">
        <f t="shared" si="0"/>
        <v>9.6999999999999993</v>
      </c>
      <c r="G7" s="17">
        <f>'Non-Hier Summary'!E8</f>
        <v>16.829999999999998</v>
      </c>
      <c r="H7" s="17">
        <f>'Posterior Summary'!E18</f>
        <v>6.76</v>
      </c>
      <c r="I7" s="18">
        <f t="shared" si="1"/>
        <v>0.40166369578134287</v>
      </c>
      <c r="J7" s="17">
        <f>'Non-Hier Summary'!F8</f>
        <v>-34.93</v>
      </c>
      <c r="K7" s="17">
        <f>'Non-Hier Summary'!J8</f>
        <v>29.49</v>
      </c>
      <c r="L7" s="18">
        <f t="shared" si="2"/>
        <v>64.42</v>
      </c>
      <c r="M7" s="17">
        <f>'Posterior Summary'!F18</f>
        <v>-8.15</v>
      </c>
      <c r="N7" s="17">
        <f>'Posterior Summary'!J18</f>
        <v>18.920000000000002</v>
      </c>
      <c r="O7" s="18">
        <f t="shared" si="3"/>
        <v>27.07</v>
      </c>
      <c r="P7" s="19">
        <f t="shared" si="4"/>
        <v>0.57978888543930451</v>
      </c>
      <c r="Q7" s="10" t="str">
        <f t="shared" si="5"/>
        <v>Yes</v>
      </c>
      <c r="R7" s="10" t="str">
        <f t="shared" si="6"/>
        <v>Yes</v>
      </c>
    </row>
    <row r="8" spans="1:18" ht="15" customHeight="1" x14ac:dyDescent="0.25">
      <c r="A8" s="6" t="s">
        <v>73</v>
      </c>
      <c r="B8" s="17">
        <f>'School Shrinkage'!B8</f>
        <v>6.82</v>
      </c>
      <c r="C8" s="17">
        <f>'School Shrinkage'!C8</f>
        <v>11</v>
      </c>
      <c r="D8" s="17">
        <f>'Non-Hier Summary'!C9</f>
        <v>7.08</v>
      </c>
      <c r="E8" s="17">
        <f>'Posterior Summary'!C19</f>
        <v>7.47</v>
      </c>
      <c r="F8" s="18">
        <f t="shared" si="0"/>
        <v>0.38999999999999968</v>
      </c>
      <c r="G8" s="17">
        <f>'Non-Hier Summary'!E9</f>
        <v>11.03</v>
      </c>
      <c r="H8" s="17">
        <f>'Posterior Summary'!E19</f>
        <v>5.79</v>
      </c>
      <c r="I8" s="18">
        <f t="shared" si="1"/>
        <v>0.5249320036264733</v>
      </c>
      <c r="J8" s="17">
        <f>'Non-Hier Summary'!F9</f>
        <v>-14.55</v>
      </c>
      <c r="K8" s="17">
        <f>'Non-Hier Summary'!J9</f>
        <v>28.24</v>
      </c>
      <c r="L8" s="18">
        <f t="shared" si="2"/>
        <v>42.79</v>
      </c>
      <c r="M8" s="17">
        <f>'Posterior Summary'!F19</f>
        <v>-3.78</v>
      </c>
      <c r="N8" s="17">
        <f>'Posterior Summary'!J19</f>
        <v>19.38</v>
      </c>
      <c r="O8" s="18">
        <f t="shared" si="3"/>
        <v>23.16</v>
      </c>
      <c r="P8" s="19">
        <f t="shared" si="4"/>
        <v>0.45875204487029675</v>
      </c>
      <c r="Q8" s="10" t="str">
        <f t="shared" si="5"/>
        <v>Yes</v>
      </c>
      <c r="R8" s="10" t="str">
        <f t="shared" si="6"/>
        <v>Yes</v>
      </c>
    </row>
    <row r="9" spans="1:18" ht="15" customHeight="1" x14ac:dyDescent="0.25">
      <c r="A9" s="6" t="s">
        <v>74</v>
      </c>
      <c r="B9" s="17">
        <f>'School Shrinkage'!B9</f>
        <v>-0.64</v>
      </c>
      <c r="C9" s="17">
        <f>'School Shrinkage'!C9</f>
        <v>9.4</v>
      </c>
      <c r="D9" s="17">
        <f>'Non-Hier Summary'!C10</f>
        <v>-0.7</v>
      </c>
      <c r="E9" s="17">
        <f>'Posterior Summary'!C20</f>
        <v>6</v>
      </c>
      <c r="F9" s="18">
        <f t="shared" si="0"/>
        <v>6.7</v>
      </c>
      <c r="G9" s="17">
        <f>'Non-Hier Summary'!E10</f>
        <v>9.86</v>
      </c>
      <c r="H9" s="17">
        <f>'Posterior Summary'!E20</f>
        <v>5.83</v>
      </c>
      <c r="I9" s="18">
        <f t="shared" si="1"/>
        <v>0.59127789046653145</v>
      </c>
      <c r="J9" s="17">
        <f>'Non-Hier Summary'!F10</f>
        <v>-19.75</v>
      </c>
      <c r="K9" s="17">
        <f>'Non-Hier Summary'!J10</f>
        <v>19.399999999999999</v>
      </c>
      <c r="L9" s="18">
        <f t="shared" si="2"/>
        <v>39.15</v>
      </c>
      <c r="M9" s="17">
        <f>'Posterior Summary'!F20</f>
        <v>-6.37</v>
      </c>
      <c r="N9" s="17">
        <f>'Posterior Summary'!J20</f>
        <v>16.510000000000002</v>
      </c>
      <c r="O9" s="18">
        <f t="shared" si="3"/>
        <v>22.880000000000003</v>
      </c>
      <c r="P9" s="19">
        <f t="shared" si="4"/>
        <v>0.4155810983397189</v>
      </c>
      <c r="Q9" s="10" t="str">
        <f t="shared" si="5"/>
        <v>Yes</v>
      </c>
      <c r="R9" s="10" t="str">
        <f t="shared" si="6"/>
        <v>Yes</v>
      </c>
    </row>
    <row r="10" spans="1:18" ht="15" customHeight="1" x14ac:dyDescent="0.25">
      <c r="A10" s="6" t="s">
        <v>75</v>
      </c>
      <c r="B10" s="17">
        <f>'School Shrinkage'!B10</f>
        <v>0.63</v>
      </c>
      <c r="C10" s="17">
        <f>'School Shrinkage'!C10</f>
        <v>11.4</v>
      </c>
      <c r="D10" s="17">
        <f>'Non-Hier Summary'!C11</f>
        <v>0.57999999999999996</v>
      </c>
      <c r="E10" s="17">
        <f>'Posterior Summary'!C21</f>
        <v>6.57</v>
      </c>
      <c r="F10" s="18">
        <f t="shared" si="0"/>
        <v>5.99</v>
      </c>
      <c r="G10" s="17">
        <f>'Non-Hier Summary'!E11</f>
        <v>11.26</v>
      </c>
      <c r="H10" s="17">
        <f>'Posterior Summary'!E21</f>
        <v>6.23</v>
      </c>
      <c r="I10" s="18">
        <f t="shared" si="1"/>
        <v>0.55328596802841923</v>
      </c>
      <c r="J10" s="17">
        <f>'Non-Hier Summary'!F11</f>
        <v>-20.95</v>
      </c>
      <c r="K10" s="17">
        <f>'Non-Hier Summary'!J11</f>
        <v>22.18</v>
      </c>
      <c r="L10" s="18">
        <f t="shared" si="2"/>
        <v>43.129999999999995</v>
      </c>
      <c r="M10" s="17">
        <f>'Posterior Summary'!F21</f>
        <v>-6.95</v>
      </c>
      <c r="N10" s="17">
        <f>'Posterior Summary'!J21</f>
        <v>17.86</v>
      </c>
      <c r="O10" s="18">
        <f t="shared" si="3"/>
        <v>24.81</v>
      </c>
      <c r="P10" s="19">
        <f t="shared" si="4"/>
        <v>0.42476234639462085</v>
      </c>
      <c r="Q10" s="10" t="str">
        <f t="shared" si="5"/>
        <v>Yes</v>
      </c>
      <c r="R10" s="10" t="str">
        <f t="shared" si="6"/>
        <v>Yes</v>
      </c>
    </row>
    <row r="11" spans="1:18" ht="15" customHeight="1" x14ac:dyDescent="0.25">
      <c r="A11" s="6" t="s">
        <v>76</v>
      </c>
      <c r="B11" s="17">
        <f>'School Shrinkage'!B11</f>
        <v>18.010000000000002</v>
      </c>
      <c r="C11" s="17">
        <f>'School Shrinkage'!C11</f>
        <v>10.4</v>
      </c>
      <c r="D11" s="17">
        <f>'Non-Hier Summary'!C12</f>
        <v>17.82</v>
      </c>
      <c r="E11" s="17">
        <f>'Posterior Summary'!C22</f>
        <v>9.85</v>
      </c>
      <c r="F11" s="18">
        <f t="shared" si="0"/>
        <v>-7.9700000000000006</v>
      </c>
      <c r="G11" s="17">
        <f>'Non-Hier Summary'!E12</f>
        <v>10.75</v>
      </c>
      <c r="H11" s="17">
        <f>'Posterior Summary'!E22</f>
        <v>6.16</v>
      </c>
      <c r="I11" s="18">
        <f t="shared" si="1"/>
        <v>0.57302325581395352</v>
      </c>
      <c r="J11" s="17">
        <f>'Non-Hier Summary'!F12</f>
        <v>-3.86</v>
      </c>
      <c r="K11" s="17">
        <f>'Non-Hier Summary'!J12</f>
        <v>38.840000000000003</v>
      </c>
      <c r="L11" s="18">
        <f t="shared" si="2"/>
        <v>42.7</v>
      </c>
      <c r="M11" s="17">
        <f>'Posterior Summary'!F22</f>
        <v>-1.44</v>
      </c>
      <c r="N11" s="17">
        <f>'Posterior Summary'!J22</f>
        <v>23.72</v>
      </c>
      <c r="O11" s="18">
        <f t="shared" si="3"/>
        <v>25.16</v>
      </c>
      <c r="P11" s="19">
        <f t="shared" si="4"/>
        <v>0.41077283372365347</v>
      </c>
      <c r="Q11" s="10" t="str">
        <f t="shared" si="5"/>
        <v>Yes</v>
      </c>
      <c r="R11" s="10" t="str">
        <f t="shared" si="6"/>
        <v>Yes</v>
      </c>
    </row>
    <row r="12" spans="1:18" ht="15" customHeight="1" x14ac:dyDescent="0.25">
      <c r="A12" s="6" t="s">
        <v>77</v>
      </c>
      <c r="B12" s="17">
        <f>'School Shrinkage'!B12</f>
        <v>12.16</v>
      </c>
      <c r="C12" s="17">
        <f>'School Shrinkage'!C12</f>
        <v>17.600000000000001</v>
      </c>
      <c r="D12" s="17">
        <f>'Non-Hier Summary'!C13</f>
        <v>11.85</v>
      </c>
      <c r="E12" s="17">
        <f>'Posterior Summary'!C23</f>
        <v>8.15</v>
      </c>
      <c r="F12" s="18">
        <f t="shared" si="0"/>
        <v>-3.6999999999999993</v>
      </c>
      <c r="G12" s="17">
        <f>'Non-Hier Summary'!E13</f>
        <v>16.98</v>
      </c>
      <c r="H12" s="17">
        <f>'Posterior Summary'!E23</f>
        <v>6.54</v>
      </c>
      <c r="I12" s="18">
        <f t="shared" si="1"/>
        <v>0.38515901060070673</v>
      </c>
      <c r="J12" s="17">
        <f>'Non-Hier Summary'!F13</f>
        <v>-21.49</v>
      </c>
      <c r="K12" s="17">
        <f>'Non-Hier Summary'!J13</f>
        <v>44.78</v>
      </c>
      <c r="L12" s="18">
        <f t="shared" si="2"/>
        <v>66.27</v>
      </c>
      <c r="M12" s="17">
        <f>'Posterior Summary'!F23</f>
        <v>-4.32</v>
      </c>
      <c r="N12" s="17">
        <f>'Posterior Summary'!J23</f>
        <v>21.85</v>
      </c>
      <c r="O12" s="18">
        <f t="shared" si="3"/>
        <v>26.17</v>
      </c>
      <c r="P12" s="19">
        <f t="shared" si="4"/>
        <v>0.6051003470650369</v>
      </c>
      <c r="Q12" s="10" t="str">
        <f t="shared" si="5"/>
        <v>Yes</v>
      </c>
      <c r="R12" s="10" t="str">
        <f t="shared" si="6"/>
        <v>Yes</v>
      </c>
    </row>
    <row r="14" spans="1:18" ht="15" customHeight="1" x14ac:dyDescent="0.25">
      <c r="A14" s="20" t="s">
        <v>78</v>
      </c>
    </row>
    <row r="15" spans="1:18" ht="43.5" customHeight="1" x14ac:dyDescent="0.25">
      <c r="A15" s="5" t="s">
        <v>79</v>
      </c>
      <c r="B15" s="5" t="s">
        <v>80</v>
      </c>
      <c r="C15" s="5" t="s">
        <v>81</v>
      </c>
      <c r="D15" s="5" t="s">
        <v>82</v>
      </c>
    </row>
    <row r="16" spans="1:18" ht="15" customHeight="1" x14ac:dyDescent="0.25">
      <c r="A16" s="7" t="s">
        <v>83</v>
      </c>
      <c r="B16" s="21">
        <f>MAX(B5:B12)-MIN(B5:B12)</f>
        <v>31.14</v>
      </c>
      <c r="C16" s="21">
        <f>MAX(D5:D12)-MIN(D5:D12)</f>
        <v>31.8</v>
      </c>
      <c r="D16" s="21">
        <f>MAX(E5:E12)-MIN(E5:E12)</f>
        <v>4.4000000000000004</v>
      </c>
    </row>
    <row r="17" spans="1:4" ht="15" customHeight="1" x14ac:dyDescent="0.25">
      <c r="A17" s="7" t="s">
        <v>84</v>
      </c>
      <c r="B17" s="21"/>
      <c r="C17" s="21">
        <f>SUMPRODUCT(ABS(D5:D12-B5:B12))/8</f>
        <v>0.20125000000000012</v>
      </c>
      <c r="D17" s="21">
        <f>SUMPRODUCT(ABS(E5:E12-B5:B12))/8</f>
        <v>6.6212499999999999</v>
      </c>
    </row>
    <row r="18" spans="1:4" ht="15" customHeight="1" x14ac:dyDescent="0.25">
      <c r="A18" s="7" t="s">
        <v>85</v>
      </c>
      <c r="B18" s="21">
        <f>AVERAGE(C5:C12)</f>
        <v>12.650000000000002</v>
      </c>
      <c r="C18" s="21">
        <f>AVERAGE(G5:G12)</f>
        <v>12.71625</v>
      </c>
      <c r="D18" s="21">
        <f>AVERAGE(H5:H12)</f>
        <v>6.2574999999999994</v>
      </c>
    </row>
    <row r="19" spans="1:4" ht="15" customHeight="1" x14ac:dyDescent="0.25">
      <c r="A19" s="7" t="s">
        <v>86</v>
      </c>
      <c r="B19" s="21"/>
      <c r="C19" s="21">
        <f>AVERAGE(L5:L12)</f>
        <v>49.518749999999997</v>
      </c>
      <c r="D19" s="21">
        <f>AVERAGE(O5:O12)</f>
        <v>25.043749999999996</v>
      </c>
    </row>
    <row r="20" spans="1:4" ht="15" customHeight="1" x14ac:dyDescent="0.25">
      <c r="A20" s="7" t="s">
        <v>87</v>
      </c>
      <c r="B20" s="22"/>
      <c r="C20" s="22">
        <f>COUNTIF(Q5:Q12,"No")</f>
        <v>1</v>
      </c>
      <c r="D20" s="22">
        <f>COUNTIF(R5:R12,"No")</f>
        <v>0</v>
      </c>
    </row>
    <row r="21" spans="1:4" ht="15" customHeight="1" x14ac:dyDescent="0.25">
      <c r="A21" s="7" t="s">
        <v>88</v>
      </c>
      <c r="B21" s="23"/>
      <c r="C21" s="23"/>
      <c r="D21" s="23">
        <f>AVERAGE(P5:P12)</f>
        <v>0.47961311559319875</v>
      </c>
    </row>
    <row r="24" spans="1:4" x14ac:dyDescent="0.25">
      <c r="A24" s="24" t="s">
        <v>89</v>
      </c>
    </row>
    <row r="25" spans="1:4" x14ac:dyDescent="0.25">
      <c r="A25" s="25" t="s">
        <v>90</v>
      </c>
    </row>
    <row r="26" spans="1:4" x14ac:dyDescent="0.25">
      <c r="A26" s="25" t="s">
        <v>91</v>
      </c>
    </row>
    <row r="27" spans="1:4" x14ac:dyDescent="0.25">
      <c r="A27" s="25" t="s">
        <v>92</v>
      </c>
    </row>
    <row r="28" spans="1:4" x14ac:dyDescent="0.25">
      <c r="A28" s="25" t="s">
        <v>93</v>
      </c>
    </row>
    <row r="29" spans="1:4" x14ac:dyDescent="0.25">
      <c r="A29" s="25" t="s">
        <v>94</v>
      </c>
    </row>
    <row r="30" spans="1:4" x14ac:dyDescent="0.25">
      <c r="A30" s="25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8" customWidth="1"/>
    <col min="2" max="11" width="14" customWidth="1"/>
  </cols>
  <sheetData>
    <row r="1" spans="1:11" ht="17.25" customHeight="1" x14ac:dyDescent="0.25">
      <c r="A1" s="1" t="s">
        <v>96</v>
      </c>
    </row>
    <row r="2" spans="1:11" ht="15" customHeight="1" x14ac:dyDescent="0.25">
      <c r="A2" s="2" t="s">
        <v>97</v>
      </c>
    </row>
    <row r="4" spans="1:11" ht="31.5" customHeight="1" x14ac:dyDescent="0.25">
      <c r="A4" s="5" t="s">
        <v>52</v>
      </c>
      <c r="B4" s="5" t="s">
        <v>53</v>
      </c>
      <c r="C4" s="5" t="s">
        <v>54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104</v>
      </c>
      <c r="K4" s="5" t="s">
        <v>105</v>
      </c>
    </row>
    <row r="5" spans="1:11" ht="15" customHeight="1" x14ac:dyDescent="0.25">
      <c r="A5" s="6" t="s">
        <v>70</v>
      </c>
      <c r="B5" s="8">
        <v>28.39</v>
      </c>
      <c r="C5" s="8">
        <v>14.9</v>
      </c>
      <c r="D5" s="18">
        <f t="shared" ref="D5:D12" si="0">B5/C5</f>
        <v>1.9053691275167786</v>
      </c>
      <c r="E5" s="17">
        <f>'Posterior Summary'!C16</f>
        <v>10.4</v>
      </c>
      <c r="F5" s="18">
        <f t="shared" ref="F5:F12" si="1">E5-B5</f>
        <v>-17.990000000000002</v>
      </c>
      <c r="G5" s="17">
        <f>'Posterior Summary'!F16</f>
        <v>-1.31</v>
      </c>
      <c r="H5" s="17">
        <f>'Posterior Summary'!J16</f>
        <v>27.2</v>
      </c>
      <c r="I5" s="18">
        <f t="shared" ref="I5:I12" si="2">H5-G5</f>
        <v>28.509999999999998</v>
      </c>
      <c r="J5" s="11" t="str">
        <f t="shared" ref="J5:J12" si="3">IF(AND(G5&lt;=0,H5&gt;=0),"Yes","No")</f>
        <v>Yes</v>
      </c>
      <c r="K5" s="17">
        <f>'Posterior Summary'!E16</f>
        <v>7.17</v>
      </c>
    </row>
    <row r="6" spans="1:11" ht="15" customHeight="1" x14ac:dyDescent="0.25">
      <c r="A6" s="6" t="s">
        <v>71</v>
      </c>
      <c r="B6" s="8">
        <v>7.94</v>
      </c>
      <c r="C6" s="8">
        <v>10.199999999999999</v>
      </c>
      <c r="D6" s="18">
        <f t="shared" si="0"/>
        <v>0.77843137254901973</v>
      </c>
      <c r="E6" s="17">
        <f>'Posterior Summary'!C17</f>
        <v>7.85</v>
      </c>
      <c r="F6" s="18">
        <f t="shared" si="1"/>
        <v>-9.0000000000000746E-2</v>
      </c>
      <c r="G6" s="17">
        <f>'Posterior Summary'!F17</f>
        <v>-3.22</v>
      </c>
      <c r="H6" s="17">
        <f>'Posterior Summary'!J17</f>
        <v>19.37</v>
      </c>
      <c r="I6" s="18">
        <f t="shared" si="2"/>
        <v>22.59</v>
      </c>
      <c r="J6" s="11" t="str">
        <f t="shared" si="3"/>
        <v>Yes</v>
      </c>
      <c r="K6" s="17">
        <f>'Posterior Summary'!E17</f>
        <v>5.58</v>
      </c>
    </row>
    <row r="7" spans="1:11" ht="15" customHeight="1" x14ac:dyDescent="0.25">
      <c r="A7" s="6" t="s">
        <v>72</v>
      </c>
      <c r="B7" s="8">
        <v>-2.75</v>
      </c>
      <c r="C7" s="8">
        <v>16.3</v>
      </c>
      <c r="D7" s="18">
        <f t="shared" si="0"/>
        <v>-0.16871165644171779</v>
      </c>
      <c r="E7" s="17">
        <f>'Posterior Summary'!C18</f>
        <v>6.74</v>
      </c>
      <c r="F7" s="18">
        <f t="shared" si="1"/>
        <v>9.49</v>
      </c>
      <c r="G7" s="17">
        <f>'Posterior Summary'!F18</f>
        <v>-8.15</v>
      </c>
      <c r="H7" s="17">
        <f>'Posterior Summary'!J18</f>
        <v>18.920000000000002</v>
      </c>
      <c r="I7" s="18">
        <f t="shared" si="2"/>
        <v>27.07</v>
      </c>
      <c r="J7" s="11" t="str">
        <f t="shared" si="3"/>
        <v>Yes</v>
      </c>
      <c r="K7" s="17">
        <f>'Posterior Summary'!E18</f>
        <v>6.76</v>
      </c>
    </row>
    <row r="8" spans="1:11" ht="15" customHeight="1" x14ac:dyDescent="0.25">
      <c r="A8" s="6" t="s">
        <v>73</v>
      </c>
      <c r="B8" s="8">
        <v>6.82</v>
      </c>
      <c r="C8" s="8">
        <v>11</v>
      </c>
      <c r="D8" s="18">
        <f t="shared" si="0"/>
        <v>0.62</v>
      </c>
      <c r="E8" s="17">
        <f>'Posterior Summary'!C19</f>
        <v>7.47</v>
      </c>
      <c r="F8" s="18">
        <f t="shared" si="1"/>
        <v>0.64999999999999947</v>
      </c>
      <c r="G8" s="17">
        <f>'Posterior Summary'!F19</f>
        <v>-3.78</v>
      </c>
      <c r="H8" s="17">
        <f>'Posterior Summary'!J19</f>
        <v>19.38</v>
      </c>
      <c r="I8" s="18">
        <f t="shared" si="2"/>
        <v>23.16</v>
      </c>
      <c r="J8" s="11" t="str">
        <f t="shared" si="3"/>
        <v>Yes</v>
      </c>
      <c r="K8" s="17">
        <f>'Posterior Summary'!E19</f>
        <v>5.79</v>
      </c>
    </row>
    <row r="9" spans="1:11" ht="15" customHeight="1" x14ac:dyDescent="0.25">
      <c r="A9" s="6" t="s">
        <v>74</v>
      </c>
      <c r="B9" s="8">
        <v>-0.64</v>
      </c>
      <c r="C9" s="8">
        <v>9.4</v>
      </c>
      <c r="D9" s="18">
        <f t="shared" si="0"/>
        <v>-6.8085106382978725E-2</v>
      </c>
      <c r="E9" s="17">
        <f>'Posterior Summary'!C20</f>
        <v>6</v>
      </c>
      <c r="F9" s="18">
        <f t="shared" si="1"/>
        <v>6.64</v>
      </c>
      <c r="G9" s="17">
        <f>'Posterior Summary'!F20</f>
        <v>-6.37</v>
      </c>
      <c r="H9" s="17">
        <f>'Posterior Summary'!J20</f>
        <v>16.510000000000002</v>
      </c>
      <c r="I9" s="18">
        <f t="shared" si="2"/>
        <v>22.880000000000003</v>
      </c>
      <c r="J9" s="11" t="str">
        <f t="shared" si="3"/>
        <v>Yes</v>
      </c>
      <c r="K9" s="17">
        <f>'Posterior Summary'!E20</f>
        <v>5.83</v>
      </c>
    </row>
    <row r="10" spans="1:11" ht="15" customHeight="1" x14ac:dyDescent="0.25">
      <c r="A10" s="6" t="s">
        <v>75</v>
      </c>
      <c r="B10" s="8">
        <v>0.63</v>
      </c>
      <c r="C10" s="8">
        <v>11.4</v>
      </c>
      <c r="D10" s="18">
        <f t="shared" si="0"/>
        <v>5.526315789473684E-2</v>
      </c>
      <c r="E10" s="17">
        <f>'Posterior Summary'!C21</f>
        <v>6.57</v>
      </c>
      <c r="F10" s="18">
        <f t="shared" si="1"/>
        <v>5.94</v>
      </c>
      <c r="G10" s="17">
        <f>'Posterior Summary'!F21</f>
        <v>-6.95</v>
      </c>
      <c r="H10" s="17">
        <f>'Posterior Summary'!J21</f>
        <v>17.86</v>
      </c>
      <c r="I10" s="18">
        <f t="shared" si="2"/>
        <v>24.81</v>
      </c>
      <c r="J10" s="11" t="str">
        <f t="shared" si="3"/>
        <v>Yes</v>
      </c>
      <c r="K10" s="17">
        <f>'Posterior Summary'!E21</f>
        <v>6.23</v>
      </c>
    </row>
    <row r="11" spans="1:11" ht="15" customHeight="1" x14ac:dyDescent="0.25">
      <c r="A11" s="6" t="s">
        <v>76</v>
      </c>
      <c r="B11" s="8">
        <v>18.010000000000002</v>
      </c>
      <c r="C11" s="8">
        <v>10.4</v>
      </c>
      <c r="D11" s="18">
        <f t="shared" si="0"/>
        <v>1.7317307692307693</v>
      </c>
      <c r="E11" s="17">
        <f>'Posterior Summary'!C22</f>
        <v>9.85</v>
      </c>
      <c r="F11" s="18">
        <f t="shared" si="1"/>
        <v>-8.1600000000000019</v>
      </c>
      <c r="G11" s="17">
        <f>'Posterior Summary'!F22</f>
        <v>-1.44</v>
      </c>
      <c r="H11" s="17">
        <f>'Posterior Summary'!J22</f>
        <v>23.72</v>
      </c>
      <c r="I11" s="18">
        <f t="shared" si="2"/>
        <v>25.16</v>
      </c>
      <c r="J11" s="11" t="str">
        <f t="shared" si="3"/>
        <v>Yes</v>
      </c>
      <c r="K11" s="17">
        <f>'Posterior Summary'!E22</f>
        <v>6.16</v>
      </c>
    </row>
    <row r="12" spans="1:11" ht="15" customHeight="1" x14ac:dyDescent="0.25">
      <c r="A12" s="6" t="s">
        <v>77</v>
      </c>
      <c r="B12" s="8">
        <v>12.16</v>
      </c>
      <c r="C12" s="8">
        <v>17.600000000000001</v>
      </c>
      <c r="D12" s="18">
        <f t="shared" si="0"/>
        <v>0.69090909090909081</v>
      </c>
      <c r="E12" s="17">
        <f>'Posterior Summary'!C23</f>
        <v>8.15</v>
      </c>
      <c r="F12" s="18">
        <f t="shared" si="1"/>
        <v>-4.01</v>
      </c>
      <c r="G12" s="17">
        <f>'Posterior Summary'!F23</f>
        <v>-4.32</v>
      </c>
      <c r="H12" s="17">
        <f>'Posterior Summary'!J23</f>
        <v>21.85</v>
      </c>
      <c r="I12" s="18">
        <f t="shared" si="2"/>
        <v>26.17</v>
      </c>
      <c r="J12" s="11" t="str">
        <f t="shared" si="3"/>
        <v>Yes</v>
      </c>
      <c r="K12" s="17">
        <f>'Posterior Summary'!E23</f>
        <v>6.54</v>
      </c>
    </row>
    <row r="14" spans="1:11" ht="15" customHeight="1" x14ac:dyDescent="0.25">
      <c r="A14" s="3" t="s">
        <v>106</v>
      </c>
    </row>
    <row r="15" spans="1:11" ht="15" customHeight="1" x14ac:dyDescent="0.25">
      <c r="A15" s="12" t="s">
        <v>107</v>
      </c>
      <c r="B15" s="26">
        <f>'Posterior Summary'!C6</f>
        <v>7.73</v>
      </c>
    </row>
    <row r="16" spans="1:11" ht="15" customHeight="1" x14ac:dyDescent="0.25">
      <c r="A16" s="12" t="s">
        <v>108</v>
      </c>
      <c r="B16" s="13">
        <f>MAX(B5:B12)-MIN(B5:B12)</f>
        <v>31.14</v>
      </c>
    </row>
    <row r="17" spans="1:2" ht="15" customHeight="1" x14ac:dyDescent="0.25">
      <c r="A17" s="12" t="s">
        <v>109</v>
      </c>
      <c r="B17" s="13">
        <f>MAX(E5:E12)-MIN(E5:E12)</f>
        <v>4.4000000000000004</v>
      </c>
    </row>
    <row r="18" spans="1:2" ht="15" customHeight="1" x14ac:dyDescent="0.25">
      <c r="A18" s="12" t="s">
        <v>110</v>
      </c>
      <c r="B18" s="27">
        <f>B17/B16</f>
        <v>0.14129736673089274</v>
      </c>
    </row>
    <row r="19" spans="1:2" ht="15" customHeight="1" x14ac:dyDescent="0.25">
      <c r="A19" s="12" t="s">
        <v>111</v>
      </c>
      <c r="B19" s="13">
        <f>MAX(MAX(F5:F12),-MIN(F5:F12))</f>
        <v>17.990000000000002</v>
      </c>
    </row>
    <row r="20" spans="1:2" ht="15" customHeight="1" x14ac:dyDescent="0.25">
      <c r="A20" s="12" t="s">
        <v>87</v>
      </c>
      <c r="B20" s="14">
        <f>COUNTIF(J5:J12,"No")</f>
        <v>0</v>
      </c>
    </row>
    <row r="22" spans="1:2" ht="15" customHeight="1" x14ac:dyDescent="0.25">
      <c r="A22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topLeftCell="A55" zoomScaleNormal="100" workbookViewId="0"/>
  </sheetViews>
  <sheetFormatPr defaultColWidth="8.7109375" defaultRowHeight="15" x14ac:dyDescent="0.25"/>
  <cols>
    <col min="1" max="1" width="26" customWidth="1"/>
    <col min="2" max="9" width="17" customWidth="1"/>
  </cols>
  <sheetData>
    <row r="1" spans="1:8" ht="17.25" customHeight="1" x14ac:dyDescent="0.25">
      <c r="A1" s="1" t="s">
        <v>113</v>
      </c>
    </row>
    <row r="2" spans="1:8" ht="15" customHeight="1" x14ac:dyDescent="0.25">
      <c r="A2" s="2" t="s">
        <v>114</v>
      </c>
    </row>
    <row r="4" spans="1:8" ht="15" customHeight="1" x14ac:dyDescent="0.25">
      <c r="A4" s="20" t="s">
        <v>115</v>
      </c>
    </row>
    <row r="5" spans="1:8" ht="31.5" customHeight="1" x14ac:dyDescent="0.25">
      <c r="A5" s="5" t="s">
        <v>116</v>
      </c>
      <c r="B5" s="5" t="s">
        <v>6</v>
      </c>
      <c r="C5" s="5" t="s">
        <v>117</v>
      </c>
      <c r="D5" s="5" t="s">
        <v>9</v>
      </c>
      <c r="E5" s="5" t="s">
        <v>13</v>
      </c>
      <c r="F5" s="5" t="s">
        <v>103</v>
      </c>
      <c r="G5" s="5" t="s">
        <v>118</v>
      </c>
      <c r="H5" s="5" t="s">
        <v>119</v>
      </c>
    </row>
    <row r="6" spans="1:8" ht="15" customHeight="1" x14ac:dyDescent="0.25">
      <c r="A6" s="6" t="s">
        <v>120</v>
      </c>
      <c r="B6" s="8">
        <v>4.79515763709054</v>
      </c>
      <c r="C6" s="8">
        <v>3.9926778058774501</v>
      </c>
      <c r="D6" s="8">
        <v>0.185512944711067</v>
      </c>
      <c r="E6" s="8">
        <v>13.8877737195296</v>
      </c>
      <c r="F6" s="18">
        <f>E6-D6</f>
        <v>13.702260774818532</v>
      </c>
      <c r="G6" s="8">
        <v>0.13414000000000001</v>
      </c>
      <c r="H6" s="8">
        <v>0.26498500000000003</v>
      </c>
    </row>
    <row r="7" spans="1:8" ht="15" customHeight="1" x14ac:dyDescent="0.25">
      <c r="A7" s="6" t="s">
        <v>121</v>
      </c>
      <c r="B7" s="8">
        <v>3.28857468791443</v>
      </c>
      <c r="C7" s="8">
        <v>2.7803328283522402</v>
      </c>
      <c r="D7" s="8">
        <v>0.12752545588335701</v>
      </c>
      <c r="E7" s="8">
        <v>9.2669230525972104</v>
      </c>
      <c r="F7" s="18">
        <f>E7-D7</f>
        <v>9.1393975967138541</v>
      </c>
      <c r="G7" s="8">
        <v>0.1921525</v>
      </c>
      <c r="H7" s="8">
        <v>0.37226999999999999</v>
      </c>
    </row>
    <row r="8" spans="1:8" ht="15" customHeight="1" x14ac:dyDescent="0.25">
      <c r="A8" s="6" t="s">
        <v>122</v>
      </c>
      <c r="B8" s="8">
        <v>3.5953029189013401</v>
      </c>
      <c r="C8" s="8">
        <v>2.7334065669907002</v>
      </c>
      <c r="D8" s="8">
        <v>0.122309826321163</v>
      </c>
      <c r="E8" s="8">
        <v>11.995791210269701</v>
      </c>
      <c r="F8" s="18">
        <f>E8-D8</f>
        <v>11.873481383948539</v>
      </c>
      <c r="G8" s="8">
        <v>0.20064000000000001</v>
      </c>
      <c r="H8" s="8">
        <v>0.3833975</v>
      </c>
    </row>
    <row r="9" spans="1:8" ht="15" customHeight="1" x14ac:dyDescent="0.25">
      <c r="A9" s="6" t="s">
        <v>123</v>
      </c>
      <c r="B9" s="8">
        <v>2.5441293764339599</v>
      </c>
      <c r="C9" s="8">
        <v>1.7655096846569001</v>
      </c>
      <c r="D9" s="8">
        <v>7.41738209592301E-2</v>
      </c>
      <c r="E9" s="8">
        <v>9.5658789005542904</v>
      </c>
      <c r="F9" s="18">
        <f>E9-D9</f>
        <v>9.4917050795950608</v>
      </c>
      <c r="G9" s="8">
        <v>0.31163999999999997</v>
      </c>
      <c r="H9" s="8">
        <v>0.54768749999999999</v>
      </c>
    </row>
    <row r="12" spans="1:8" ht="15" customHeight="1" x14ac:dyDescent="0.25">
      <c r="A12" s="20" t="s">
        <v>124</v>
      </c>
    </row>
    <row r="13" spans="1:8" ht="31.5" customHeight="1" x14ac:dyDescent="0.25">
      <c r="A13" s="5" t="s">
        <v>52</v>
      </c>
      <c r="B13" s="5" t="s">
        <v>53</v>
      </c>
      <c r="C13" s="5" t="s">
        <v>120</v>
      </c>
      <c r="D13" s="5" t="s">
        <v>121</v>
      </c>
      <c r="E13" s="5" t="s">
        <v>122</v>
      </c>
      <c r="F13" s="5" t="s">
        <v>123</v>
      </c>
      <c r="G13" s="5" t="s">
        <v>125</v>
      </c>
      <c r="H13" s="5" t="s">
        <v>126</v>
      </c>
    </row>
    <row r="14" spans="1:8" ht="15" customHeight="1" x14ac:dyDescent="0.25">
      <c r="A14" s="6" t="s">
        <v>70</v>
      </c>
      <c r="B14" s="17">
        <f>'School Shrinkage'!B5</f>
        <v>28.39</v>
      </c>
      <c r="C14" s="8">
        <v>10.0118286780726</v>
      </c>
      <c r="D14" s="8">
        <v>8.8946570455763094</v>
      </c>
      <c r="E14" s="8">
        <v>9.1805286956053305</v>
      </c>
      <c r="F14" s="8">
        <v>8.5245027689761592</v>
      </c>
      <c r="G14" s="18">
        <f t="shared" ref="G14:G21" si="0">D14-C14</f>
        <v>-1.1171716324962908</v>
      </c>
      <c r="H14" s="18">
        <f t="shared" ref="H14:H21" si="1">E14-C14</f>
        <v>-0.83129998246726977</v>
      </c>
    </row>
    <row r="15" spans="1:8" ht="15" customHeight="1" x14ac:dyDescent="0.25">
      <c r="A15" s="6" t="s">
        <v>71</v>
      </c>
      <c r="B15" s="17">
        <f>'School Shrinkage'!B6</f>
        <v>7.94</v>
      </c>
      <c r="C15" s="8">
        <v>7.6749473159769899</v>
      </c>
      <c r="D15" s="8">
        <v>7.6060638504239497</v>
      </c>
      <c r="E15" s="8">
        <v>7.63630912163676</v>
      </c>
      <c r="F15" s="8">
        <v>7.5980874346464802</v>
      </c>
      <c r="G15" s="18">
        <f t="shared" si="0"/>
        <v>-6.8883465553040146E-2</v>
      </c>
      <c r="H15" s="18">
        <f t="shared" si="1"/>
        <v>-3.8638194340229859E-2</v>
      </c>
    </row>
    <row r="16" spans="1:8" ht="15" customHeight="1" x14ac:dyDescent="0.25">
      <c r="A16" s="6" t="s">
        <v>72</v>
      </c>
      <c r="B16" s="17">
        <f>'School Shrinkage'!B7</f>
        <v>-2.75</v>
      </c>
      <c r="C16" s="8">
        <v>6.5490145618141904</v>
      </c>
      <c r="D16" s="8">
        <v>7.0243452708855303</v>
      </c>
      <c r="E16" s="8">
        <v>6.8987180358242304</v>
      </c>
      <c r="F16" s="8">
        <v>7.1775268521267899</v>
      </c>
      <c r="G16" s="18">
        <f t="shared" si="0"/>
        <v>0.4753307090713399</v>
      </c>
      <c r="H16" s="18">
        <f t="shared" si="1"/>
        <v>0.34970347401003998</v>
      </c>
    </row>
    <row r="17" spans="1:8" ht="15" customHeight="1" x14ac:dyDescent="0.25">
      <c r="A17" s="6" t="s">
        <v>73</v>
      </c>
      <c r="B17" s="17">
        <f>'School Shrinkage'!B8</f>
        <v>6.82</v>
      </c>
      <c r="C17" s="8">
        <v>7.4681695837537303</v>
      </c>
      <c r="D17" s="8">
        <v>7.4963880183687701</v>
      </c>
      <c r="E17" s="8">
        <v>7.4874337868931597</v>
      </c>
      <c r="F17" s="8">
        <v>7.5183317968282903</v>
      </c>
      <c r="G17" s="18">
        <f t="shared" si="0"/>
        <v>2.8218434615039811E-2</v>
      </c>
      <c r="H17" s="18">
        <f t="shared" si="1"/>
        <v>1.9264203139429448E-2</v>
      </c>
    </row>
    <row r="18" spans="1:8" ht="15" customHeight="1" x14ac:dyDescent="0.25">
      <c r="A18" s="6" t="s">
        <v>74</v>
      </c>
      <c r="B18" s="17">
        <f>'School Shrinkage'!B9</f>
        <v>-0.64</v>
      </c>
      <c r="C18" s="8">
        <v>5.8333908894389799</v>
      </c>
      <c r="D18" s="8">
        <v>6.5007934924426003</v>
      </c>
      <c r="E18" s="8">
        <v>6.3748201202324202</v>
      </c>
      <c r="F18" s="8">
        <v>6.8098674761178897</v>
      </c>
      <c r="G18" s="18">
        <f t="shared" si="0"/>
        <v>0.66740260300362042</v>
      </c>
      <c r="H18" s="18">
        <f t="shared" si="1"/>
        <v>0.5414292307934403</v>
      </c>
    </row>
    <row r="19" spans="1:8" ht="15" customHeight="1" x14ac:dyDescent="0.25">
      <c r="A19" s="6" t="s">
        <v>75</v>
      </c>
      <c r="B19" s="17">
        <f>'School Shrinkage'!B10</f>
        <v>0.63</v>
      </c>
      <c r="C19" s="8">
        <v>6.4285518230876901</v>
      </c>
      <c r="D19" s="8">
        <v>6.8942864571025098</v>
      </c>
      <c r="E19" s="8">
        <v>6.8012599195791896</v>
      </c>
      <c r="F19" s="8">
        <v>7.0911099097878996</v>
      </c>
      <c r="G19" s="18">
        <f t="shared" si="0"/>
        <v>0.46573463401481963</v>
      </c>
      <c r="H19" s="18">
        <f t="shared" si="1"/>
        <v>0.3727080964914995</v>
      </c>
    </row>
    <row r="20" spans="1:8" ht="15" customHeight="1" x14ac:dyDescent="0.25">
      <c r="A20" s="6" t="s">
        <v>76</v>
      </c>
      <c r="B20" s="17">
        <f>'School Shrinkage'!B11</f>
        <v>18.010000000000002</v>
      </c>
      <c r="C20" s="8">
        <v>9.5766331010506303</v>
      </c>
      <c r="D20" s="8">
        <v>8.7552718107567706</v>
      </c>
      <c r="E20" s="8">
        <v>8.9283174119937208</v>
      </c>
      <c r="F20" s="8">
        <v>8.4047640757920092</v>
      </c>
      <c r="G20" s="18">
        <f t="shared" si="0"/>
        <v>-0.82136129029385962</v>
      </c>
      <c r="H20" s="18">
        <f t="shared" si="1"/>
        <v>-0.64831568905690951</v>
      </c>
    </row>
    <row r="21" spans="1:8" ht="15" customHeight="1" x14ac:dyDescent="0.25">
      <c r="A21" s="6" t="s">
        <v>77</v>
      </c>
      <c r="B21" s="17">
        <f>'School Shrinkage'!B12</f>
        <v>12.16</v>
      </c>
      <c r="C21" s="8">
        <v>8.0171082355100403</v>
      </c>
      <c r="D21" s="8">
        <v>7.8082627198141497</v>
      </c>
      <c r="E21" s="8">
        <v>7.8653237375934504</v>
      </c>
      <c r="F21" s="8">
        <v>7.7354605675530896</v>
      </c>
      <c r="G21" s="18">
        <f t="shared" si="0"/>
        <v>-0.2088455156958906</v>
      </c>
      <c r="H21" s="18">
        <f t="shared" si="1"/>
        <v>-0.15178449791658988</v>
      </c>
    </row>
    <row r="22" spans="1:8" ht="15" customHeight="1" x14ac:dyDescent="0.25">
      <c r="A22" s="3" t="s">
        <v>127</v>
      </c>
      <c r="B22" s="13">
        <f>MAX(B14:B21)-MIN(B14:B21)</f>
        <v>31.14</v>
      </c>
      <c r="C22" s="13">
        <f>MAX(C14:C21)-MIN(C14:C21)</f>
        <v>4.1784377886336204</v>
      </c>
      <c r="D22" s="13">
        <f>MAX(D14:D21)-MIN(D14:D21)</f>
        <v>2.3938635531337091</v>
      </c>
      <c r="E22" s="13">
        <f>MAX(E14:E21)-MIN(E14:E21)</f>
        <v>2.8057085753729103</v>
      </c>
      <c r="F22" s="13">
        <f>MAX(F14:F21)-MIN(F14:F21)</f>
        <v>1.7146352928582695</v>
      </c>
    </row>
    <row r="23" spans="1:8" ht="15" customHeight="1" x14ac:dyDescent="0.25">
      <c r="A23" s="3" t="s">
        <v>128</v>
      </c>
      <c r="C23" s="27">
        <f>C22/$B$22</f>
        <v>0.13418233104154209</v>
      </c>
      <c r="D23" s="27">
        <f>D22/$B$22</f>
        <v>7.687423099337537E-2</v>
      </c>
      <c r="E23" s="27">
        <f>E22/$B$22</f>
        <v>9.0099825798744704E-2</v>
      </c>
      <c r="F23" s="27">
        <f>F22/$B$22</f>
        <v>5.5062148132892404E-2</v>
      </c>
    </row>
    <row r="25" spans="1:8" ht="15" customHeight="1" x14ac:dyDescent="0.25">
      <c r="A25" s="20" t="s">
        <v>129</v>
      </c>
    </row>
    <row r="26" spans="1:8" ht="31.5" customHeight="1" x14ac:dyDescent="0.25">
      <c r="A26" s="5" t="s">
        <v>52</v>
      </c>
      <c r="B26" s="5" t="s">
        <v>120</v>
      </c>
      <c r="C26" s="5" t="s">
        <v>121</v>
      </c>
      <c r="D26" s="5" t="s">
        <v>122</v>
      </c>
      <c r="E26" s="5" t="s">
        <v>123</v>
      </c>
    </row>
    <row r="27" spans="1:8" ht="15" customHeight="1" x14ac:dyDescent="0.25">
      <c r="A27" s="6" t="s">
        <v>70</v>
      </c>
      <c r="B27" s="8">
        <v>-1.91630441176814</v>
      </c>
      <c r="C27" s="8">
        <v>-1.5286486039570699</v>
      </c>
      <c r="D27" s="8">
        <v>-1.53903161011015</v>
      </c>
      <c r="E27" s="8">
        <v>-1.1551430329624901</v>
      </c>
    </row>
    <row r="28" spans="1:8" ht="15" customHeight="1" x14ac:dyDescent="0.25">
      <c r="A28" s="6" t="s">
        <v>71</v>
      </c>
      <c r="B28" s="8">
        <v>-3.78279204781964</v>
      </c>
      <c r="C28" s="8">
        <v>-2.55367799086443</v>
      </c>
      <c r="D28" s="8">
        <v>-2.8033955541583402</v>
      </c>
      <c r="E28" s="8">
        <v>-1.93925117949534</v>
      </c>
    </row>
    <row r="29" spans="1:8" ht="15" customHeight="1" x14ac:dyDescent="0.25">
      <c r="A29" s="6" t="s">
        <v>72</v>
      </c>
      <c r="B29" s="8">
        <v>-7.9776824096409404</v>
      </c>
      <c r="C29" s="8">
        <v>-4.63054729259051</v>
      </c>
      <c r="D29" s="8">
        <v>-5.65340566005617</v>
      </c>
      <c r="E29" s="8">
        <v>-3.488899775588</v>
      </c>
    </row>
    <row r="30" spans="1:8" ht="15" customHeight="1" x14ac:dyDescent="0.25">
      <c r="A30" s="6" t="s">
        <v>73</v>
      </c>
      <c r="B30" s="8">
        <v>-4.41698054845671</v>
      </c>
      <c r="C30" s="8">
        <v>-2.9173538456966002</v>
      </c>
      <c r="D30" s="8">
        <v>-3.2944366051367902</v>
      </c>
      <c r="E30" s="8">
        <v>-2.2081321100867601</v>
      </c>
    </row>
    <row r="31" spans="1:8" ht="15" customHeight="1" x14ac:dyDescent="0.25">
      <c r="A31" s="6" t="s">
        <v>74</v>
      </c>
      <c r="B31" s="8">
        <v>-6.8098521844186104</v>
      </c>
      <c r="C31" s="8">
        <v>-4.3199262544380099</v>
      </c>
      <c r="D31" s="8">
        <v>-5.0170411481594801</v>
      </c>
      <c r="E31" s="8">
        <v>-3.3832886504019499</v>
      </c>
    </row>
    <row r="32" spans="1:8" ht="15" customHeight="1" x14ac:dyDescent="0.25">
      <c r="A32" s="6" t="s">
        <v>75</v>
      </c>
      <c r="B32" s="8">
        <v>-6.6090602355547299</v>
      </c>
      <c r="C32" s="8">
        <v>-4.0906545539008698</v>
      </c>
      <c r="D32" s="8">
        <v>-4.8015958783231101</v>
      </c>
      <c r="E32" s="8">
        <v>-3.1588361608240398</v>
      </c>
    </row>
    <row r="33" spans="1:5" ht="15" customHeight="1" x14ac:dyDescent="0.25">
      <c r="A33" s="6" t="s">
        <v>76</v>
      </c>
      <c r="B33" s="8">
        <v>-1.3607324463027499</v>
      </c>
      <c r="C33" s="8">
        <v>-1.12611460575969</v>
      </c>
      <c r="D33" s="8">
        <v>-1.1389290479160801</v>
      </c>
      <c r="E33" s="8">
        <v>-0.92743494018866901</v>
      </c>
    </row>
    <row r="34" spans="1:5" ht="15" customHeight="1" x14ac:dyDescent="0.25">
      <c r="A34" s="6" t="s">
        <v>77</v>
      </c>
      <c r="B34" s="8">
        <v>-5.0846480417520397</v>
      </c>
      <c r="C34" s="8">
        <v>-3.15896056060578</v>
      </c>
      <c r="D34" s="8">
        <v>-3.62466758599109</v>
      </c>
      <c r="E34" s="8">
        <v>-2.34089269364229</v>
      </c>
    </row>
    <row r="36" spans="1:5" ht="15" customHeight="1" x14ac:dyDescent="0.25">
      <c r="A36" s="20" t="s">
        <v>130</v>
      </c>
    </row>
    <row r="37" spans="1:5" ht="31.5" customHeight="1" x14ac:dyDescent="0.25">
      <c r="A37" s="5" t="s">
        <v>52</v>
      </c>
      <c r="B37" s="5" t="s">
        <v>120</v>
      </c>
      <c r="C37" s="5" t="s">
        <v>121</v>
      </c>
      <c r="D37" s="5" t="s">
        <v>122</v>
      </c>
      <c r="E37" s="5" t="s">
        <v>123</v>
      </c>
    </row>
    <row r="38" spans="1:5" ht="15" customHeight="1" x14ac:dyDescent="0.25">
      <c r="A38" s="6" t="s">
        <v>70</v>
      </c>
      <c r="B38" s="8">
        <v>26.306228271583301</v>
      </c>
      <c r="C38" s="8">
        <v>21.374217575601399</v>
      </c>
      <c r="D38" s="8">
        <v>23.296706055650802</v>
      </c>
      <c r="E38" s="8">
        <v>20.239011608483299</v>
      </c>
    </row>
    <row r="39" spans="1:5" ht="15" customHeight="1" x14ac:dyDescent="0.25">
      <c r="A39" s="6" t="s">
        <v>71</v>
      </c>
      <c r="B39" s="8">
        <v>19.281566189664201</v>
      </c>
      <c r="C39" s="8">
        <v>17.8306184650571</v>
      </c>
      <c r="D39" s="8">
        <v>18.190817905453802</v>
      </c>
      <c r="E39" s="8">
        <v>17.2057869971581</v>
      </c>
    </row>
    <row r="40" spans="1:5" ht="15" customHeight="1" x14ac:dyDescent="0.25">
      <c r="A40" s="6" t="s">
        <v>72</v>
      </c>
      <c r="B40" s="8">
        <v>19.130291783421701</v>
      </c>
      <c r="C40" s="8">
        <v>17.786794085983001</v>
      </c>
      <c r="D40" s="8">
        <v>18.011998838185502</v>
      </c>
      <c r="E40" s="8">
        <v>17.121906796213999</v>
      </c>
    </row>
    <row r="41" spans="1:5" ht="15" customHeight="1" x14ac:dyDescent="0.25">
      <c r="A41" s="6" t="s">
        <v>73</v>
      </c>
      <c r="B41" s="8">
        <v>19.209075394970998</v>
      </c>
      <c r="C41" s="8">
        <v>17.862783156306701</v>
      </c>
      <c r="D41" s="8">
        <v>18.147151307243099</v>
      </c>
      <c r="E41" s="8">
        <v>17.251996488086299</v>
      </c>
    </row>
    <row r="42" spans="1:5" ht="15" customHeight="1" x14ac:dyDescent="0.25">
      <c r="A42" s="6" t="s">
        <v>74</v>
      </c>
      <c r="B42" s="8">
        <v>16.4708299657241</v>
      </c>
      <c r="C42" s="8">
        <v>16.250330246607501</v>
      </c>
      <c r="D42" s="8">
        <v>16.2363712073352</v>
      </c>
      <c r="E42" s="8">
        <v>16.0330987300202</v>
      </c>
    </row>
    <row r="43" spans="1:5" ht="15" customHeight="1" x14ac:dyDescent="0.25">
      <c r="A43" s="6" t="s">
        <v>75</v>
      </c>
      <c r="B43" s="8">
        <v>17.838345612956601</v>
      </c>
      <c r="C43" s="8">
        <v>17.044532807385199</v>
      </c>
      <c r="D43" s="8">
        <v>17.1447675515791</v>
      </c>
      <c r="E43" s="8">
        <v>16.617052776437099</v>
      </c>
    </row>
    <row r="44" spans="1:5" ht="15" customHeight="1" x14ac:dyDescent="0.25">
      <c r="A44" s="6" t="s">
        <v>76</v>
      </c>
      <c r="B44" s="8">
        <v>23.098923560283399</v>
      </c>
      <c r="C44" s="8">
        <v>20.061443311328802</v>
      </c>
      <c r="D44" s="8">
        <v>21.051852344724001</v>
      </c>
      <c r="E44" s="8">
        <v>19.0447543311302</v>
      </c>
    </row>
    <row r="45" spans="1:5" ht="15" customHeight="1" x14ac:dyDescent="0.25">
      <c r="A45" s="6" t="s">
        <v>77</v>
      </c>
      <c r="B45" s="8">
        <v>22.119614346494298</v>
      </c>
      <c r="C45" s="8">
        <v>19.3015329756748</v>
      </c>
      <c r="D45" s="8">
        <v>19.983288153031999</v>
      </c>
      <c r="E45" s="8">
        <v>18.216878979538599</v>
      </c>
    </row>
    <row r="47" spans="1:5" ht="15" customHeight="1" x14ac:dyDescent="0.25">
      <c r="A47" s="20" t="s">
        <v>131</v>
      </c>
    </row>
    <row r="48" spans="1:5" ht="31.5" customHeight="1" x14ac:dyDescent="0.25">
      <c r="A48" s="5" t="s">
        <v>52</v>
      </c>
      <c r="B48" s="5" t="s">
        <v>120</v>
      </c>
      <c r="C48" s="5" t="s">
        <v>121</v>
      </c>
      <c r="D48" s="5" t="s">
        <v>122</v>
      </c>
      <c r="E48" s="5" t="s">
        <v>123</v>
      </c>
    </row>
    <row r="49" spans="1:5" ht="15" customHeight="1" x14ac:dyDescent="0.25">
      <c r="A49" s="6" t="s">
        <v>70</v>
      </c>
      <c r="B49" s="18">
        <f t="shared" ref="B49:E56" si="2">B38-B27</f>
        <v>28.222532683351442</v>
      </c>
      <c r="C49" s="18">
        <f t="shared" si="2"/>
        <v>22.902866179558469</v>
      </c>
      <c r="D49" s="18">
        <f t="shared" si="2"/>
        <v>24.835737665760952</v>
      </c>
      <c r="E49" s="18">
        <f t="shared" si="2"/>
        <v>21.394154641445787</v>
      </c>
    </row>
    <row r="50" spans="1:5" ht="15" customHeight="1" x14ac:dyDescent="0.25">
      <c r="A50" s="6" t="s">
        <v>71</v>
      </c>
      <c r="B50" s="18">
        <f t="shared" si="2"/>
        <v>23.064358237483841</v>
      </c>
      <c r="C50" s="18">
        <f t="shared" si="2"/>
        <v>20.384296455921529</v>
      </c>
      <c r="D50" s="18">
        <f t="shared" si="2"/>
        <v>20.994213459612141</v>
      </c>
      <c r="E50" s="18">
        <f t="shared" si="2"/>
        <v>19.14503817665344</v>
      </c>
    </row>
    <row r="51" spans="1:5" ht="15" customHeight="1" x14ac:dyDescent="0.25">
      <c r="A51" s="6" t="s">
        <v>72</v>
      </c>
      <c r="B51" s="18">
        <f t="shared" si="2"/>
        <v>27.107974193062642</v>
      </c>
      <c r="C51" s="18">
        <f t="shared" si="2"/>
        <v>22.417341378573511</v>
      </c>
      <c r="D51" s="18">
        <f t="shared" si="2"/>
        <v>23.665404498241671</v>
      </c>
      <c r="E51" s="18">
        <f t="shared" si="2"/>
        <v>20.610806571801998</v>
      </c>
    </row>
    <row r="52" spans="1:5" ht="15" customHeight="1" x14ac:dyDescent="0.25">
      <c r="A52" s="6" t="s">
        <v>73</v>
      </c>
      <c r="B52" s="18">
        <f t="shared" si="2"/>
        <v>23.626055943427708</v>
      </c>
      <c r="C52" s="18">
        <f t="shared" si="2"/>
        <v>20.7801370020033</v>
      </c>
      <c r="D52" s="18">
        <f t="shared" si="2"/>
        <v>21.441587912379891</v>
      </c>
      <c r="E52" s="18">
        <f t="shared" si="2"/>
        <v>19.460128598173057</v>
      </c>
    </row>
    <row r="53" spans="1:5" ht="15" customHeight="1" x14ac:dyDescent="0.25">
      <c r="A53" s="6" t="s">
        <v>74</v>
      </c>
      <c r="B53" s="18">
        <f t="shared" si="2"/>
        <v>23.280682150142709</v>
      </c>
      <c r="C53" s="18">
        <f t="shared" si="2"/>
        <v>20.57025650104551</v>
      </c>
      <c r="D53" s="18">
        <f t="shared" si="2"/>
        <v>21.253412355494682</v>
      </c>
      <c r="E53" s="18">
        <f t="shared" si="2"/>
        <v>19.416387380422151</v>
      </c>
    </row>
    <row r="54" spans="1:5" ht="15" customHeight="1" x14ac:dyDescent="0.25">
      <c r="A54" s="6" t="s">
        <v>75</v>
      </c>
      <c r="B54" s="18">
        <f t="shared" si="2"/>
        <v>24.44740584851133</v>
      </c>
      <c r="C54" s="18">
        <f t="shared" si="2"/>
        <v>21.135187361286068</v>
      </c>
      <c r="D54" s="18">
        <f t="shared" si="2"/>
        <v>21.94636342990221</v>
      </c>
      <c r="E54" s="18">
        <f t="shared" si="2"/>
        <v>19.77588893726114</v>
      </c>
    </row>
    <row r="55" spans="1:5" ht="15" customHeight="1" x14ac:dyDescent="0.25">
      <c r="A55" s="6" t="s">
        <v>76</v>
      </c>
      <c r="B55" s="18">
        <f t="shared" si="2"/>
        <v>24.459656006586151</v>
      </c>
      <c r="C55" s="18">
        <f t="shared" si="2"/>
        <v>21.18755791708849</v>
      </c>
      <c r="D55" s="18">
        <f t="shared" si="2"/>
        <v>22.19078139264008</v>
      </c>
      <c r="E55" s="18">
        <f t="shared" si="2"/>
        <v>19.972189271318868</v>
      </c>
    </row>
    <row r="56" spans="1:5" ht="15" customHeight="1" x14ac:dyDescent="0.25">
      <c r="A56" s="6" t="s">
        <v>77</v>
      </c>
      <c r="B56" s="18">
        <f t="shared" si="2"/>
        <v>27.204262388246338</v>
      </c>
      <c r="C56" s="18">
        <f t="shared" si="2"/>
        <v>22.46049353628058</v>
      </c>
      <c r="D56" s="18">
        <f t="shared" si="2"/>
        <v>23.60795573902309</v>
      </c>
      <c r="E56" s="18">
        <f t="shared" si="2"/>
        <v>20.557771673180888</v>
      </c>
    </row>
    <row r="57" spans="1:5" ht="15" customHeight="1" x14ac:dyDescent="0.25">
      <c r="A57" s="3" t="s">
        <v>132</v>
      </c>
      <c r="B57" s="13">
        <f>AVERAGE(B49:B56)</f>
        <v>25.176615931351524</v>
      </c>
      <c r="C57" s="13">
        <f>AVERAGE(C49:C56)</f>
        <v>21.479767041469682</v>
      </c>
      <c r="D57" s="13">
        <f>AVERAGE(D49:D56)</f>
        <v>22.491932056631839</v>
      </c>
      <c r="E57" s="13">
        <f>AVERAGE(E49:E56)</f>
        <v>20.041545656282167</v>
      </c>
    </row>
    <row r="59" spans="1:5" ht="15" customHeight="1" x14ac:dyDescent="0.25">
      <c r="A59" s="20" t="s">
        <v>133</v>
      </c>
    </row>
    <row r="60" spans="1:5" ht="31.5" customHeight="1" x14ac:dyDescent="0.25">
      <c r="A60" s="5" t="s">
        <v>116</v>
      </c>
      <c r="B60" s="5" t="s">
        <v>6</v>
      </c>
      <c r="C60" s="5" t="s">
        <v>9</v>
      </c>
      <c r="D60" s="5" t="s">
        <v>13</v>
      </c>
      <c r="E60" s="5" t="s">
        <v>134</v>
      </c>
    </row>
    <row r="61" spans="1:5" ht="15" customHeight="1" x14ac:dyDescent="0.25">
      <c r="A61" s="6" t="s">
        <v>120</v>
      </c>
      <c r="B61" s="8">
        <v>7.5981948929049201</v>
      </c>
      <c r="C61" s="8">
        <v>-1.4364505754933601</v>
      </c>
      <c r="D61" s="8">
        <v>16.648892443307599</v>
      </c>
      <c r="E61" s="8">
        <v>0.95180750000000003</v>
      </c>
    </row>
    <row r="62" spans="1:5" ht="15" customHeight="1" x14ac:dyDescent="0.25">
      <c r="A62" s="6" t="s">
        <v>121</v>
      </c>
      <c r="B62" s="8">
        <v>7.5811994153869096</v>
      </c>
      <c r="C62" s="8">
        <v>-0.89462756692054202</v>
      </c>
      <c r="D62" s="8">
        <v>16.0889040545329</v>
      </c>
      <c r="E62" s="8">
        <v>0.96029249999999999</v>
      </c>
    </row>
    <row r="63" spans="1:5" ht="15" customHeight="1" x14ac:dyDescent="0.25">
      <c r="A63" s="6" t="s">
        <v>122</v>
      </c>
      <c r="B63" s="8">
        <v>7.5888610480076002</v>
      </c>
      <c r="C63" s="8">
        <v>-1.0525195769372599</v>
      </c>
      <c r="D63" s="8">
        <v>16.230937767014399</v>
      </c>
      <c r="E63" s="8">
        <v>0.9581075</v>
      </c>
    </row>
    <row r="64" spans="1:5" ht="15" customHeight="1" x14ac:dyDescent="0.25">
      <c r="A64" s="6" t="s">
        <v>123</v>
      </c>
      <c r="B64" s="8">
        <v>7.5765308308298103</v>
      </c>
      <c r="C64" s="8">
        <v>-0.77647615588728003</v>
      </c>
      <c r="D64" s="8">
        <v>15.9684514975461</v>
      </c>
      <c r="E64" s="8">
        <v>0.96253</v>
      </c>
    </row>
    <row r="66" spans="1:1" ht="15" customHeight="1" x14ac:dyDescent="0.25">
      <c r="A66" s="20" t="s">
        <v>89</v>
      </c>
    </row>
    <row r="67" spans="1:1" ht="15" customHeight="1" x14ac:dyDescent="0.25">
      <c r="A67" s="12" t="s">
        <v>135</v>
      </c>
    </row>
    <row r="68" spans="1:1" ht="15" customHeight="1" x14ac:dyDescent="0.25">
      <c r="A68" s="12" t="s">
        <v>136</v>
      </c>
    </row>
    <row r="69" spans="1:1" ht="15" customHeight="1" x14ac:dyDescent="0.25">
      <c r="A69" s="12" t="s">
        <v>137</v>
      </c>
    </row>
    <row r="70" spans="1:1" ht="15" customHeight="1" x14ac:dyDescent="0.25">
      <c r="A70" s="12" t="s">
        <v>138</v>
      </c>
    </row>
    <row r="71" spans="1:1" ht="15" customHeight="1" x14ac:dyDescent="0.25">
      <c r="A71" s="12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topLeftCell="A10" zoomScaleNormal="100" workbookViewId="0"/>
  </sheetViews>
  <sheetFormatPr defaultColWidth="8.7109375" defaultRowHeight="15" x14ac:dyDescent="0.25"/>
  <cols>
    <col min="1" max="1" width="28" customWidth="1"/>
    <col min="2" max="2" width="55" customWidth="1"/>
    <col min="3" max="3" width="70" customWidth="1"/>
  </cols>
  <sheetData>
    <row r="1" spans="1:3" ht="17.25" customHeight="1" x14ac:dyDescent="0.25">
      <c r="A1" s="1" t="s">
        <v>140</v>
      </c>
    </row>
    <row r="3" spans="1:3" ht="31.5" customHeight="1" x14ac:dyDescent="0.25">
      <c r="A3" s="5" t="s">
        <v>141</v>
      </c>
      <c r="B3" s="5" t="s">
        <v>142</v>
      </c>
      <c r="C3" s="5" t="s">
        <v>143</v>
      </c>
    </row>
    <row r="4" spans="1:3" ht="57.75" customHeight="1" x14ac:dyDescent="0.25">
      <c r="A4" s="28" t="s">
        <v>144</v>
      </c>
      <c r="B4" s="29" t="s">
        <v>145</v>
      </c>
      <c r="C4" s="29" t="s">
        <v>146</v>
      </c>
    </row>
    <row r="5" spans="1:3" ht="57.75" customHeight="1" x14ac:dyDescent="0.25">
      <c r="A5" s="28" t="s">
        <v>147</v>
      </c>
      <c r="B5" s="29" t="s">
        <v>148</v>
      </c>
      <c r="C5" s="29" t="s">
        <v>149</v>
      </c>
    </row>
    <row r="6" spans="1:3" ht="57.75" customHeight="1" x14ac:dyDescent="0.25">
      <c r="A6" s="28" t="s">
        <v>150</v>
      </c>
      <c r="B6" s="29" t="s">
        <v>151</v>
      </c>
      <c r="C6" s="29" t="s">
        <v>152</v>
      </c>
    </row>
    <row r="7" spans="1:3" ht="57.75" customHeight="1" x14ac:dyDescent="0.25">
      <c r="A7" s="28" t="s">
        <v>153</v>
      </c>
      <c r="B7" s="29" t="s">
        <v>154</v>
      </c>
      <c r="C7" s="29" t="s">
        <v>155</v>
      </c>
    </row>
    <row r="8" spans="1:3" ht="57.75" customHeight="1" x14ac:dyDescent="0.25">
      <c r="A8" s="28" t="s">
        <v>156</v>
      </c>
      <c r="B8" s="29" t="s">
        <v>157</v>
      </c>
      <c r="C8" s="29" t="s">
        <v>158</v>
      </c>
    </row>
    <row r="9" spans="1:3" ht="57.75" customHeight="1" x14ac:dyDescent="0.25">
      <c r="A9" s="28" t="s">
        <v>159</v>
      </c>
      <c r="B9" s="29" t="s">
        <v>160</v>
      </c>
      <c r="C9" s="29" t="s">
        <v>161</v>
      </c>
    </row>
    <row r="10" spans="1:3" ht="57.75" customHeight="1" x14ac:dyDescent="0.25">
      <c r="A10" s="28" t="s">
        <v>162</v>
      </c>
      <c r="B10" s="29" t="s">
        <v>163</v>
      </c>
      <c r="C10" s="29" t="s">
        <v>164</v>
      </c>
    </row>
    <row r="11" spans="1:3" ht="57.75" customHeight="1" x14ac:dyDescent="0.25">
      <c r="A11" s="28" t="s">
        <v>165</v>
      </c>
      <c r="B11" s="29" t="s">
        <v>166</v>
      </c>
      <c r="C11" s="29" t="s">
        <v>167</v>
      </c>
    </row>
    <row r="12" spans="1:3" ht="69.75" customHeight="1" x14ac:dyDescent="0.25">
      <c r="A12" s="30" t="s">
        <v>168</v>
      </c>
      <c r="B12" s="31" t="s">
        <v>169</v>
      </c>
      <c r="C12" s="31" t="s">
        <v>170</v>
      </c>
    </row>
    <row r="13" spans="1:3" ht="69.75" customHeight="1" x14ac:dyDescent="0.25">
      <c r="A13" s="30" t="s">
        <v>171</v>
      </c>
      <c r="B13" s="31" t="s">
        <v>172</v>
      </c>
      <c r="C13" s="31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tabSelected="1" topLeftCell="A7" zoomScaleNormal="100" workbookViewId="0">
      <selection activeCell="A20" sqref="A20"/>
    </sheetView>
  </sheetViews>
  <sheetFormatPr defaultColWidth="8.7109375" defaultRowHeight="15" x14ac:dyDescent="0.25"/>
  <cols>
    <col min="1" max="1" width="110" customWidth="1"/>
  </cols>
  <sheetData>
    <row r="1" spans="1:1" ht="17.25" customHeight="1" x14ac:dyDescent="0.25">
      <c r="A1" s="1" t="s">
        <v>174</v>
      </c>
    </row>
    <row r="3" spans="1:1" ht="15" customHeight="1" x14ac:dyDescent="0.25">
      <c r="A3" s="32" t="s">
        <v>175</v>
      </c>
    </row>
    <row r="4" spans="1:1" ht="15" customHeight="1" x14ac:dyDescent="0.25">
      <c r="A4" s="33" t="s">
        <v>176</v>
      </c>
    </row>
    <row r="5" spans="1:1" ht="15" customHeight="1" x14ac:dyDescent="0.25">
      <c r="A5" s="33" t="s">
        <v>177</v>
      </c>
    </row>
    <row r="6" spans="1:1" ht="15" customHeight="1" x14ac:dyDescent="0.25">
      <c r="A6" s="33" t="s">
        <v>178</v>
      </c>
    </row>
    <row r="7" spans="1:1" ht="15" customHeight="1" x14ac:dyDescent="0.25">
      <c r="A7" s="33" t="s">
        <v>179</v>
      </c>
    </row>
    <row r="8" spans="1:1" ht="15" customHeight="1" x14ac:dyDescent="0.25">
      <c r="A8" s="33" t="s">
        <v>180</v>
      </c>
    </row>
    <row r="9" spans="1:1" ht="15" customHeight="1" x14ac:dyDescent="0.25">
      <c r="A9" s="25"/>
    </row>
    <row r="10" spans="1:1" ht="15" customHeight="1" x14ac:dyDescent="0.25">
      <c r="A10" s="32" t="s">
        <v>181</v>
      </c>
    </row>
    <row r="11" spans="1:1" ht="15" customHeight="1" x14ac:dyDescent="0.25">
      <c r="A11" s="25"/>
    </row>
    <row r="12" spans="1:1" ht="15" customHeight="1" x14ac:dyDescent="0.25">
      <c r="A12" s="25" t="e" cm="1">
        <f t="array" ref="A12">- Raw estimates and standard errors are the classic eight schools data A2</f>
        <v>#NAME?</v>
      </c>
    </row>
    <row r="13" spans="1:1" ht="15" customHeight="1" x14ac:dyDescent="0.25">
      <c r="A13" s="25" t="s">
        <v>182</v>
      </c>
    </row>
    <row r="14" spans="1:1" ht="15" customHeight="1" x14ac:dyDescent="0.25">
      <c r="A14" s="25" t="s">
        <v>183</v>
      </c>
    </row>
    <row r="15" spans="1:1" ht="15" customHeight="1" x14ac:dyDescent="0.25">
      <c r="A15" s="25" t="s">
        <v>184</v>
      </c>
    </row>
    <row r="17" spans="1:1" x14ac:dyDescent="0.25">
      <c r="A17" s="25"/>
    </row>
    <row r="18" spans="1:1" x14ac:dyDescent="0.25">
      <c r="A18" s="32" t="s">
        <v>185</v>
      </c>
    </row>
    <row r="19" spans="1:1" x14ac:dyDescent="0.25">
      <c r="A19" s="33" t="s">
        <v>186</v>
      </c>
    </row>
    <row r="20" spans="1:1" x14ac:dyDescent="0.25">
      <c r="A20" s="25" t="s">
        <v>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Posterior Summary</vt:lpstr>
      <vt:lpstr>Non-Hier Summary</vt:lpstr>
      <vt:lpstr>Model Comparison</vt:lpstr>
      <vt:lpstr>School Shrinkage</vt:lpstr>
      <vt:lpstr>Prior Sensitivity</vt:lpstr>
      <vt:lpstr>Interpretation</vt:lpstr>
      <vt:lpstr>Model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HomePC</cp:lastModifiedBy>
  <cp:revision>0</cp:revision>
  <dcterms:created xsi:type="dcterms:W3CDTF">2026-10-14T08:06:49Z</dcterms:created>
  <dcterms:modified xsi:type="dcterms:W3CDTF">2026-10-14T08:35:51Z</dcterms:modified>
  <dc:language>en-US</dc:language>
</cp:coreProperties>
</file>